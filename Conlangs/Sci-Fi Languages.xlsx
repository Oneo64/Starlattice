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<sst xmlns="http://schemas.openxmlformats.org/spreadsheetml/2006/main" count="3076" uniqueCount="3047">
  <si>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</si>
  <si>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</si>
  <si>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</si>
  <si>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</si>
  <si>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</si>
  <si>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</si>
  <si>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</si>
  <si>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</si>
  <si>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</si>
  <si>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</si>
  <si>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</si>
  <si>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</si>
  <si>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</si>
  <si>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</si>
  <si>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</si>
  <si>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</si>
  <si>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</si>
  <si>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</si>
  <si>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</si>
  <si>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</si>
  <si>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</si>
  <si>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</si>
  <si>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</si>
  <si>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</si>
  <si>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</si>
  <si>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</si>
  <si>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</si>
  <si>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</si>
  <si>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</si>
  <si>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</si>
  <si>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</si>
  <si>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</si>
  <si>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</si>
  <si>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</si>
  <si>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</si>
  <si>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</si>
  <si>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</si>
  <si>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</si>
  <si>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</si>
  <si>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</si>
  <si>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</si>
  <si>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</si>
  <si>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</si>
  <si>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</si>
  <si>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</si>
  <si>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</si>
  <si>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</si>
  <si>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</si>
  <si>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</si>
  <si>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</si>
  <si>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</si>
  <si>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</si>
  <si>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</si>
  <si>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</si>
  <si>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</si>
  <si>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</si>
  <si>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</si>
  <si>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</si>
  <si>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</si>
  <si>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</si>
  <si>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</si>
  <si>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</si>
  <si>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</si>
  <si>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</si>
  <si>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</si>
  <si>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</si>
  <si>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</si>
  <si>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</si>
  <si>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</si>
  <si>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</si>
  <si>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</si>
  <si>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</si>
  <si>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</si>
  <si>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</si>
  <si>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</si>
  <si>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</si>
  <si>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</si>
  <si>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</si>
  <si>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</si>
  <si>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</si>
  <si>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</si>
  <si>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</si>
  <si>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</si>
  <si>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</si>
  <si>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</si>
  <si>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</si>
  <si>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</si>
  <si>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</si>
  <si>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</si>
  <si>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</si>
  <si>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</si>
  <si>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</si>
  <si>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</si>
  <si>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</si>
  <si>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</si>
  <si>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</si>
  <si>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</si>
  <si>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</si>
  <si>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</si>
  <si>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</si>
  <si>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</si>
  <si>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</si>
  <si>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</si>
  <si>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</si>
  <si>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</si>
  <si>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</si>
  <si>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</si>
  <si>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</si>
  <si>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</si>
  <si>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</si>
  <si>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</si>
  <si>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</si>
  <si>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</si>
  <si>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</si>
  <si>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</si>
  <si>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</si>
  <si>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</si>
  <si>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</si>
  <si>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</si>
  <si>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</si>
  <si>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</si>
  <si>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</si>
  <si>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</si>
  <si>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</si>
  <si>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</si>
  <si>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</si>
  <si>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</si>
  <si>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arl</t>
  </si>
  <si>
    <t>year</t>
  </si>
  <si>
    <t>арл</t>
  </si>
  <si>
    <t>gerund (-dar)</t>
  </si>
  <si>
    <t>replace -at with -dar | replace -ат with -дар</t>
  </si>
  <si>
    <t>armank</t>
  </si>
  <si>
    <t>armanite</t>
  </si>
  <si>
    <t>арманк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</si>
  <si>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</si>
  <si>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</si>
  <si>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</si>
  <si>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</si>
  <si>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</si>
  <si>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</si>
  <si>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</si>
  <si>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plural (-as)</t>
  </si>
  <si>
    <t>add -as | add -ас</t>
  </si>
  <si>
    <t>artom</t>
  </si>
  <si>
    <t>bullet, bolt of energy/material</t>
  </si>
  <si>
    <t>артом</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</si>
  <si>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</si>
  <si>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</si>
  <si>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</si>
  <si>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</si>
  <si>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</si>
  <si>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possessive plural (-uziz)</t>
  </si>
  <si>
    <t>add -uziz | add -ьзіз</t>
  </si>
  <si>
    <t>azlyeza</t>
  </si>
  <si>
    <t>fame, reputation, renown</t>
  </si>
  <si>
    <t>азлйєза</t>
  </si>
  <si>
    <t>person of/occupation (-o)</t>
  </si>
  <si>
    <t>add -o</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</si>
  <si>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</si>
  <si>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</si>
  <si>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</si>
  <si>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</si>
  <si>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ize/ed/ized (-niy)</t>
  </si>
  <si>
    <t>add -niy | add -ни</t>
  </si>
  <si>
    <t>babūshka</t>
  </si>
  <si>
    <t>grandmother, grandma</t>
  </si>
  <si>
    <t>бабушка</t>
  </si>
  <si>
    <t>more (mot)</t>
  </si>
  <si>
    <t>add -mot | add -мот</t>
  </si>
  <si>
    <t>Za krepkiy doynaro borotsyacho kiyna seniy manakonas, seniy knizyo valashem hosyaliy leyn joklun slava.</t>
  </si>
  <si>
    <t>baka</t>
  </si>
  <si>
    <t>pie, pastry</t>
  </si>
  <si>
    <t>бака</t>
  </si>
  <si>
    <t>most (-teys)</t>
  </si>
  <si>
    <t>add -teys | add -тєис</t>
  </si>
  <si>
    <t>За крэпкй дойнаро бороцячо кйна сэнй манаконас, сэнй книзё валашэм хосялй лэйн жоклун слава.</t>
  </si>
  <si>
    <t>bakov</t>
  </si>
  <si>
    <t>trunk of vehicle</t>
  </si>
  <si>
    <t>баков</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</si>
  <si>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</si>
  <si>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</si>
  <si>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</si>
  <si>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</si>
  <si>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</si>
  <si>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</si>
  <si>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</si>
  <si>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</si>
  <si>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U</t>
  </si>
  <si>
    <t>/u/</t>
  </si>
  <si>
    <t>Always pronounce as OO</t>
  </si>
  <si>
    <t>За кйна лодскаро тоячо скан за драса сэвэнак.</t>
  </si>
  <si>
    <t>beldat</t>
  </si>
  <si>
    <t>to relax, to rest</t>
  </si>
  <si>
    <t>бєлдат</t>
  </si>
  <si>
    <t>IY</t>
  </si>
  <si>
    <t>/i/</t>
  </si>
  <si>
    <t>Always pronounce as EE</t>
  </si>
  <si>
    <t>The brave sailor sailed across the wide sea.</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</si>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</sst>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TRUE)"),"viltav")</f>
        <v>viltav</v>
      </c>
      <c r="H5" s="10" t="str">
        <f>IFERROR(__xludf.DUMMYFUNCTION("""COMPUTED_VALUE"""),"alarm")</f>
        <v>alarm</v>
      </c>
      <c r="I5" s="8" t="str">
        <f>IFERROR(__xludf.DUMMYFUNCTION("""COMPUTED_VALUE"""),"вілтав")</f>
        <v>вілтав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IFERROR(__xludf.DUMMYFUNCTION("""COMPUTED_VALUE"""),"hurk")</f>
        <v>hurk</v>
      </c>
      <c r="H6" s="19" t="str">
        <f>IFERROR(__xludf.DUMMYFUNCTION("""COMPUTED_VALUE"""),"arm")</f>
        <v>arm</v>
      </c>
      <c r="I6" s="8" t="str">
        <f>IFERROR(__xludf.DUMMYFUNCTION("""COMPUTED_VALUE"""),"хьрк")</f>
        <v>хьрк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IFERROR(__xludf.DUMMYFUNCTION("""COMPUTED_VALUE"""),"armank")</f>
        <v>armank</v>
      </c>
      <c r="H7" s="19" t="str">
        <f>IFERROR(__xludf.DUMMYFUNCTION("""COMPUTED_VALUE"""),"armanite")</f>
        <v>armanite</v>
      </c>
      <c r="I7" s="8" t="str">
        <f>IFERROR(__xludf.DUMMYFUNCTION("""COMPUTED_VALUE"""),"арманк")</f>
        <v>арманк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IFERROR(__xludf.DUMMYFUNCTION("""COMPUTED_VALUE"""),"antul")</f>
        <v>antul</v>
      </c>
      <c r="H8" s="19" t="str">
        <f>IFERROR(__xludf.DUMMYFUNCTION("""COMPUTED_VALUE"""),"armor")</f>
        <v>armor</v>
      </c>
      <c r="I8" s="8" t="str">
        <f>IFERROR(__xludf.DUMMYFUNCTION("""COMPUTED_VALUE"""),"антьл")</f>
        <v>антьл</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IFERROR(__xludf.DUMMYFUNCTION("""COMPUTED_VALUE"""),"pojamits")</f>
        <v>pojamits</v>
      </c>
      <c r="H9" s="19" t="str">
        <f>IFERROR(__xludf.DUMMYFUNCTION("""COMPUTED_VALUE"""),"chemise, frock, undergarment")</f>
        <v>chemise, frock, undergarment</v>
      </c>
      <c r="I9" s="8" t="str">
        <f>IFERROR(__xludf.DUMMYFUNCTION("""COMPUTED_VALUE"""),"пожаміц")</f>
        <v>пожаміц</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IFERROR(__xludf.DUMMYFUNCTION("""COMPUTED_VALUE"""),"tivesel")</f>
        <v>tivesel</v>
      </c>
      <c r="H10" s="19" t="str">
        <f>IFERROR(__xludf.DUMMYFUNCTION("""COMPUTED_VALUE"""),"clothing, garment, apparel")</f>
        <v>clothing, garment, apparel</v>
      </c>
      <c r="I10" s="8" t="str">
        <f>IFERROR(__xludf.DUMMYFUNCTION("""COMPUTED_VALUE"""),"тівєсєл")</f>
        <v>тівєсєл</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t="str">
        <f>IFERROR(__xludf.DUMMYFUNCTION("""COMPUTED_VALUE"""),"voskol")</f>
        <v>voskol</v>
      </c>
      <c r="H11" s="19" t="str">
        <f>IFERROR(__xludf.DUMMYFUNCTION("""COMPUTED_VALUE"""),"military, army")</f>
        <v>military, army</v>
      </c>
      <c r="I11" s="8" t="str">
        <f>IFERROR(__xludf.DUMMYFUNCTION("""COMPUTED_VALUE"""),"воскол")</f>
        <v>воскол</v>
      </c>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t="str">
        <f>IFERROR(__xludf.DUMMYFUNCTION("""COMPUTED_VALUE"""),"vlorniy")</f>
        <v>vlorniy</v>
      </c>
      <c r="H12" s="19" t="str">
        <f>IFERROR(__xludf.DUMMYFUNCTION("""COMPUTED_VALUE"""),"warm (adjective)")</f>
        <v>warm (adjective)</v>
      </c>
      <c r="I12" s="8" t="str">
        <f>IFERROR(__xludf.DUMMYFUNCTION("""COMPUTED_VALUE"""),"влорни")</f>
        <v>влорни</v>
      </c>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0" t="s">
        <v>149</v>
      </c>
      <c r="B27" s="10" t="s">
        <v>150</v>
      </c>
      <c r="C27" s="10"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6"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0" t="s">
        <v>233</v>
      </c>
      <c r="B43" s="10" t="s">
        <v>234</v>
      </c>
      <c r="C43" s="10"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42"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0" t="s">
        <v>257</v>
      </c>
      <c r="B47" s="10" t="s">
        <v>258</v>
      </c>
      <c r="C47" s="10"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6" t="s">
        <v>269</v>
      </c>
      <c r="B49" s="16" t="s">
        <v>270</v>
      </c>
      <c r="C49" s="16"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0" t="s">
        <v>287</v>
      </c>
      <c r="B52" s="10" t="s">
        <v>288</v>
      </c>
      <c r="C52" s="10"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6" t="s">
        <v>310</v>
      </c>
      <c r="B56" s="16" t="s">
        <v>311</v>
      </c>
      <c r="C56" s="16"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0" t="s">
        <v>322</v>
      </c>
      <c r="B58" s="10" t="s">
        <v>323</v>
      </c>
      <c r="C58" s="10"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6" t="s">
        <v>353</v>
      </c>
      <c r="B64" s="16" t="s">
        <v>354</v>
      </c>
      <c r="C64" s="16"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6" t="s">
        <v>373</v>
      </c>
      <c r="B68" s="16" t="s">
        <v>374</v>
      </c>
      <c r="C68" s="16"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0" t="s">
        <v>427</v>
      </c>
      <c r="B80" s="10" t="s">
        <v>428</v>
      </c>
      <c r="C80" s="10"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6"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0"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508</v>
      </c>
      <c r="B107" s="10" t="s">
        <v>509</v>
      </c>
      <c r="C107" s="10"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511</v>
      </c>
      <c r="B108" s="10" t="s">
        <v>512</v>
      </c>
      <c r="C108" s="10"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538</v>
      </c>
      <c r="B117" s="16" t="s">
        <v>539</v>
      </c>
      <c r="C117" s="16"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541</v>
      </c>
      <c r="B118" s="10" t="s">
        <v>542</v>
      </c>
      <c r="C118" s="10"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544</v>
      </c>
      <c r="B119" s="10" t="s">
        <v>545</v>
      </c>
      <c r="C119" s="10"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604</v>
      </c>
      <c r="B139" s="16" t="s">
        <v>605</v>
      </c>
      <c r="C139" s="16"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661</v>
      </c>
      <c r="B158" s="10" t="s">
        <v>662</v>
      </c>
      <c r="C158" s="10"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670</v>
      </c>
      <c r="B161" s="10" t="s">
        <v>671</v>
      </c>
      <c r="C161" s="10"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44"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757</v>
      </c>
      <c r="B190" s="10" t="s">
        <v>758</v>
      </c>
      <c r="C190" s="10"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766</v>
      </c>
      <c r="B193" s="10" t="s">
        <v>767</v>
      </c>
      <c r="C193" s="10"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21" t="s">
        <v>787</v>
      </c>
      <c r="B200" s="21"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808</v>
      </c>
      <c r="B207" s="16" t="s">
        <v>809</v>
      </c>
      <c r="C207" s="16"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826</v>
      </c>
      <c r="B213" s="10"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21" t="s">
        <v>829</v>
      </c>
      <c r="B214" s="21"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835</v>
      </c>
      <c r="B216" s="10" t="s">
        <v>836</v>
      </c>
      <c r="C216" s="10"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844</v>
      </c>
      <c r="B219" s="10" t="s">
        <v>845</v>
      </c>
      <c r="C219" s="10"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919</v>
      </c>
      <c r="B244" s="10" t="s">
        <v>920</v>
      </c>
      <c r="C244" s="10"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931</v>
      </c>
      <c r="B248" s="10" t="s">
        <v>932</v>
      </c>
      <c r="C248" s="10"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967</v>
      </c>
      <c r="B260" s="10" t="s">
        <v>968</v>
      </c>
      <c r="C260" s="10"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45" t="s">
        <v>983</v>
      </c>
      <c r="C265" s="45"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20</v>
      </c>
      <c r="C266" s="10"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6"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996</v>
      </c>
      <c r="B270" s="16" t="s">
        <v>997</v>
      </c>
      <c r="C270" s="16"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999</v>
      </c>
      <c r="B271" s="10"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1002</v>
      </c>
      <c r="B272" s="16" t="s">
        <v>1003</v>
      </c>
      <c r="C272" s="16"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1005</v>
      </c>
      <c r="B273" s="10" t="s">
        <v>1006</v>
      </c>
      <c r="C273" s="10"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1008</v>
      </c>
      <c r="B274" s="16"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1011</v>
      </c>
      <c r="B275" s="10" t="s">
        <v>1012</v>
      </c>
      <c r="C275" s="10"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1014</v>
      </c>
      <c r="B276" s="16" t="s">
        <v>1015</v>
      </c>
      <c r="C276" s="16"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1020</v>
      </c>
      <c r="B278" s="10" t="s">
        <v>1021</v>
      </c>
      <c r="C278" s="10"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1026</v>
      </c>
      <c r="B280" s="16" t="s">
        <v>1027</v>
      </c>
      <c r="C280" s="16"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1032</v>
      </c>
      <c r="B282" s="10" t="s">
        <v>1033</v>
      </c>
      <c r="C282" s="10"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1035</v>
      </c>
      <c r="B283" s="16" t="s">
        <v>1036</v>
      </c>
      <c r="C283" s="16"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1041</v>
      </c>
      <c r="B285" s="16" t="s">
        <v>1042</v>
      </c>
      <c r="C285" s="16"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1050</v>
      </c>
      <c r="B288" s="10" t="s">
        <v>1051</v>
      </c>
      <c r="C288" s="10"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1056</v>
      </c>
      <c r="B290" s="10" t="s">
        <v>1057</v>
      </c>
      <c r="C290" s="10"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1059</v>
      </c>
      <c r="B291" s="16" t="s">
        <v>1060</v>
      </c>
      <c r="C291" s="16"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1062</v>
      </c>
      <c r="B292" s="10" t="s">
        <v>1063</v>
      </c>
      <c r="C292" s="10"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1065</v>
      </c>
      <c r="B293" s="10" t="s">
        <v>1066</v>
      </c>
      <c r="C293" s="10"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1068</v>
      </c>
      <c r="B294" s="16" t="s">
        <v>1069</v>
      </c>
      <c r="C294" s="16"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1071</v>
      </c>
      <c r="B295" s="16"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1074</v>
      </c>
      <c r="B296" s="16" t="s">
        <v>1075</v>
      </c>
      <c r="C296" s="16"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0"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0"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1083</v>
      </c>
      <c r="B299" s="16" t="s">
        <v>1084</v>
      </c>
      <c r="C299" s="16"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1086</v>
      </c>
      <c r="B300" s="16" t="s">
        <v>1087</v>
      </c>
      <c r="C300" s="16"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6"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1098</v>
      </c>
      <c r="B304" s="10" t="s">
        <v>1099</v>
      </c>
      <c r="C304" s="10"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1101</v>
      </c>
      <c r="B305" s="16" t="s">
        <v>1102</v>
      </c>
      <c r="C305" s="16"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1113</v>
      </c>
      <c r="B309" s="10" t="s">
        <v>1114</v>
      </c>
      <c r="C309" s="10"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1116</v>
      </c>
      <c r="B310" s="16" t="s">
        <v>1117</v>
      </c>
      <c r="C310" s="16"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1119</v>
      </c>
      <c r="B311" s="10" t="s">
        <v>1120</v>
      </c>
      <c r="C311" s="10"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16"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1125</v>
      </c>
      <c r="B313" s="10" t="s">
        <v>1126</v>
      </c>
      <c r="C313" s="10"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1143</v>
      </c>
      <c r="B319" s="16" t="s">
        <v>1144</v>
      </c>
      <c r="C319" s="16"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1149</v>
      </c>
      <c r="B321" s="16" t="s">
        <v>1150</v>
      </c>
      <c r="C321" s="16"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1152</v>
      </c>
      <c r="B322" s="10" t="s">
        <v>1153</v>
      </c>
      <c r="C322" s="10"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1158</v>
      </c>
      <c r="B324" s="16" t="s">
        <v>1159</v>
      </c>
      <c r="C324" s="16"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1161</v>
      </c>
      <c r="B325" s="10" t="s">
        <v>1162</v>
      </c>
      <c r="C325" s="10"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1164</v>
      </c>
      <c r="B326" s="16" t="s">
        <v>1165</v>
      </c>
      <c r="C326" s="16"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1167</v>
      </c>
      <c r="B327" s="10" t="s">
        <v>1168</v>
      </c>
      <c r="C327" s="10"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1170</v>
      </c>
      <c r="B328" s="16" t="s">
        <v>1171</v>
      </c>
      <c r="C328" s="16"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1173</v>
      </c>
      <c r="B329" s="10" t="s">
        <v>1174</v>
      </c>
      <c r="C329" s="10"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1176</v>
      </c>
      <c r="B330" s="16" t="s">
        <v>1177</v>
      </c>
      <c r="C330" s="16"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1182</v>
      </c>
      <c r="B332" s="10" t="s">
        <v>1183</v>
      </c>
      <c r="C332" s="10"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1185</v>
      </c>
      <c r="B333" s="16" t="s">
        <v>1186</v>
      </c>
      <c r="C333" s="16"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1191</v>
      </c>
      <c r="B335" s="16" t="s">
        <v>1192</v>
      </c>
      <c r="C335" s="16"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1200</v>
      </c>
      <c r="B338" s="10"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1203</v>
      </c>
      <c r="B339" s="10" t="s">
        <v>1204</v>
      </c>
      <c r="C339" s="10"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1206</v>
      </c>
      <c r="B340" s="10" t="s">
        <v>1207</v>
      </c>
      <c r="C340" s="10"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1209</v>
      </c>
      <c r="B341" s="21" t="s">
        <v>1210</v>
      </c>
      <c r="C341" s="10"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1227</v>
      </c>
      <c r="B347" s="16" t="s">
        <v>1228</v>
      </c>
      <c r="C347" s="16"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1233</v>
      </c>
      <c r="B349" s="16" t="s">
        <v>1234</v>
      </c>
      <c r="C349" s="16"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1236</v>
      </c>
      <c r="B350" s="10" t="s">
        <v>1237</v>
      </c>
      <c r="C350" s="10"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1239</v>
      </c>
      <c r="B351" s="16" t="s">
        <v>1240</v>
      </c>
      <c r="C351" s="16"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1245</v>
      </c>
      <c r="B353" s="10" t="s">
        <v>1246</v>
      </c>
      <c r="C353" s="10"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1248</v>
      </c>
      <c r="B354" s="16" t="s">
        <v>1249</v>
      </c>
      <c r="C354" s="16"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1251</v>
      </c>
      <c r="B355" s="10" t="s">
        <v>1252</v>
      </c>
      <c r="C355" s="10"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1257</v>
      </c>
      <c r="B357" s="16" t="s">
        <v>1258</v>
      </c>
      <c r="C357" s="16"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1260</v>
      </c>
      <c r="B358" s="16" t="s">
        <v>1261</v>
      </c>
      <c r="C358" s="16"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1263</v>
      </c>
      <c r="B359" s="16" t="s">
        <v>1264</v>
      </c>
      <c r="C359" s="16"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1269</v>
      </c>
      <c r="B361" s="10"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1275</v>
      </c>
      <c r="B363" s="10" t="s">
        <v>1276</v>
      </c>
      <c r="C363" s="10"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1278</v>
      </c>
      <c r="B364" s="16" t="s">
        <v>1279</v>
      </c>
      <c r="C364" s="16"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1284</v>
      </c>
      <c r="B366" s="10" t="s">
        <v>1285</v>
      </c>
      <c r="C366" s="10"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21" t="s">
        <v>1287</v>
      </c>
      <c r="B367" s="21"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0" t="s">
        <v>1291</v>
      </c>
      <c r="C368" s="10"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1293</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1296</v>
      </c>
      <c r="B370" s="10" t="s">
        <v>1297</v>
      </c>
      <c r="C370" s="10"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1305</v>
      </c>
      <c r="B373" s="10"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1331</v>
      </c>
      <c r="B382" s="16" t="s">
        <v>1332</v>
      </c>
      <c r="C382" s="16"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21" t="s">
        <v>1334</v>
      </c>
      <c r="B383" s="21" t="s">
        <v>1335</v>
      </c>
      <c r="C383" s="10"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1337</v>
      </c>
      <c r="B384" s="10" t="s">
        <v>1338</v>
      </c>
      <c r="C384" s="10"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1340</v>
      </c>
      <c r="B385" s="16" t="s">
        <v>1341</v>
      </c>
      <c r="C385" s="16"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1343</v>
      </c>
      <c r="B386" s="16" t="s">
        <v>1344</v>
      </c>
      <c r="C386" s="16"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1349</v>
      </c>
      <c r="B388" s="10" t="s">
        <v>1350</v>
      </c>
      <c r="C388" s="10"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1352</v>
      </c>
      <c r="B389" s="10" t="s">
        <v>1353</v>
      </c>
      <c r="C389" s="10"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1361</v>
      </c>
      <c r="B392" s="10" t="s">
        <v>1362</v>
      </c>
      <c r="C392" s="10"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6" t="s">
        <v>1371</v>
      </c>
      <c r="C395" s="16"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6" t="s">
        <v>1377</v>
      </c>
      <c r="C397" s="16"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0" t="s">
        <v>1380</v>
      </c>
      <c r="C398" s="10"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1388</v>
      </c>
      <c r="B401" s="10" t="s">
        <v>1389</v>
      </c>
      <c r="C401" s="10"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1391</v>
      </c>
      <c r="B402" s="16" t="s">
        <v>1392</v>
      </c>
      <c r="C402" s="16"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1397</v>
      </c>
      <c r="B404" s="16" t="s">
        <v>1398</v>
      </c>
      <c r="C404" s="16"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0" t="s">
        <v>1401</v>
      </c>
      <c r="C405" s="10"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1403</v>
      </c>
      <c r="B406" s="16" t="s">
        <v>1404</v>
      </c>
      <c r="C406" s="16"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1406</v>
      </c>
      <c r="B407" s="10" t="s">
        <v>1407</v>
      </c>
      <c r="C407" s="10"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1409</v>
      </c>
      <c r="B408" s="10" t="s">
        <v>1410</v>
      </c>
      <c r="C408" s="10"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1412</v>
      </c>
      <c r="B409" s="10" t="s">
        <v>1413</v>
      </c>
      <c r="C409" s="10"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1430</v>
      </c>
      <c r="B415" s="16" t="s">
        <v>1431</v>
      </c>
      <c r="C415" s="16"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1436</v>
      </c>
      <c r="B417" s="10" t="s">
        <v>1437</v>
      </c>
      <c r="C417" s="10"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1442</v>
      </c>
      <c r="B419" s="10" t="s">
        <v>1443</v>
      </c>
      <c r="C419" s="10"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1445</v>
      </c>
      <c r="B420" s="16" t="s">
        <v>1446</v>
      </c>
      <c r="C420" s="16"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1451</v>
      </c>
      <c r="B422" s="10" t="s">
        <v>1452</v>
      </c>
      <c r="C422" s="10"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1454</v>
      </c>
      <c r="B423" s="16" t="s">
        <v>1455</v>
      </c>
      <c r="C423" s="16"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1460</v>
      </c>
      <c r="B425" s="10" t="s">
        <v>1461</v>
      </c>
      <c r="C425" s="10"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1469</v>
      </c>
      <c r="B428" s="16" t="s">
        <v>1470</v>
      </c>
      <c r="C428" s="16"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1472</v>
      </c>
      <c r="B429" s="16" t="s">
        <v>1473</v>
      </c>
      <c r="C429" s="16"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21" t="s">
        <v>1478</v>
      </c>
      <c r="B431" s="21" t="s">
        <v>1479</v>
      </c>
      <c r="C431" s="10"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1481</v>
      </c>
      <c r="B432" s="10"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1484</v>
      </c>
      <c r="B433" s="16" t="s">
        <v>1485</v>
      </c>
      <c r="C433" s="16"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1487</v>
      </c>
      <c r="B434" s="10" t="s">
        <v>1488</v>
      </c>
      <c r="C434" s="10"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1493</v>
      </c>
      <c r="B436" s="16" t="s">
        <v>1494</v>
      </c>
      <c r="C436" s="16"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1499</v>
      </c>
      <c r="B438" s="21"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1511</v>
      </c>
      <c r="B442" s="10" t="s">
        <v>1512</v>
      </c>
      <c r="C442" s="10"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1514</v>
      </c>
      <c r="B443" s="10" t="s">
        <v>1515</v>
      </c>
      <c r="C443" s="10"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1517</v>
      </c>
      <c r="B444" s="16" t="s">
        <v>1518</v>
      </c>
      <c r="C444" s="16"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1520</v>
      </c>
      <c r="B445" s="16" t="s">
        <v>1521</v>
      </c>
      <c r="C445" s="16"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1523</v>
      </c>
      <c r="B446" s="10" t="s">
        <v>1524</v>
      </c>
      <c r="C446" s="10"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1529</v>
      </c>
      <c r="B448" s="16" t="s">
        <v>1530</v>
      </c>
      <c r="C448" s="16"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1532</v>
      </c>
      <c r="B449" s="16" t="s">
        <v>1533</v>
      </c>
      <c r="C449" s="16"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1538</v>
      </c>
      <c r="B451" s="16" t="s">
        <v>1539</v>
      </c>
      <c r="C451" s="16"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1544</v>
      </c>
      <c r="B453" s="10" t="s">
        <v>1545</v>
      </c>
      <c r="C453" s="10"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1553</v>
      </c>
      <c r="B456" s="10" t="s">
        <v>1554</v>
      </c>
      <c r="C456" s="10"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1556</v>
      </c>
      <c r="B457" s="10" t="s">
        <v>1557</v>
      </c>
      <c r="C457" s="10"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1562</v>
      </c>
      <c r="B459" s="10" t="s">
        <v>1563</v>
      </c>
      <c r="C459" s="10"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1565</v>
      </c>
      <c r="B460" s="10" t="s">
        <v>1566</v>
      </c>
      <c r="C460" s="10"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1574</v>
      </c>
      <c r="B463" s="16" t="s">
        <v>1575</v>
      </c>
      <c r="C463" s="16"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1577</v>
      </c>
      <c r="B464" s="10" t="s">
        <v>1578</v>
      </c>
      <c r="C464" s="10"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1580</v>
      </c>
      <c r="B465" s="16" t="s">
        <v>1581</v>
      </c>
      <c r="C465" s="16"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1586</v>
      </c>
      <c r="B467" s="16" t="s">
        <v>1587</v>
      </c>
      <c r="C467" s="16"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1589</v>
      </c>
      <c r="B468" s="16" t="s">
        <v>1590</v>
      </c>
      <c r="C468" s="16"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1595</v>
      </c>
      <c r="B470" s="10" t="s">
        <v>1596</v>
      </c>
      <c r="C470" s="10"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1598</v>
      </c>
      <c r="B471" s="16" t="s">
        <v>1599</v>
      </c>
      <c r="C471" s="16"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1607</v>
      </c>
      <c r="B474" s="10" t="s">
        <v>1608</v>
      </c>
      <c r="C474" s="10"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1610</v>
      </c>
      <c r="B475" s="16" t="s">
        <v>1611</v>
      </c>
      <c r="C475" s="16"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1613</v>
      </c>
      <c r="B476" s="10" t="s">
        <v>1614</v>
      </c>
      <c r="C476" s="10"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1616</v>
      </c>
      <c r="B477" s="10" t="s">
        <v>1617</v>
      </c>
      <c r="C477" s="10"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1622</v>
      </c>
      <c r="B479" s="10" t="s">
        <v>1623</v>
      </c>
      <c r="C479" s="10"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1625</v>
      </c>
      <c r="B480" s="10" t="s">
        <v>1626</v>
      </c>
      <c r="C480" s="10"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1631</v>
      </c>
      <c r="B482" s="16" t="s">
        <v>1632</v>
      </c>
      <c r="C482" s="16"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1637</v>
      </c>
      <c r="B484" s="10" t="s">
        <v>1638</v>
      </c>
      <c r="C484" s="10"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1640</v>
      </c>
      <c r="B485" s="10" t="s">
        <v>1641</v>
      </c>
      <c r="C485" s="10"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1643</v>
      </c>
      <c r="B486" s="16" t="s">
        <v>1644</v>
      </c>
      <c r="C486" s="16"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1646</v>
      </c>
      <c r="B487" s="10" t="s">
        <v>1647</v>
      </c>
      <c r="C487" s="10"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1653</v>
      </c>
      <c r="C489" s="16"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1655</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1658</v>
      </c>
      <c r="B491" s="10" t="s">
        <v>1659</v>
      </c>
      <c r="C491" s="10"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1664</v>
      </c>
      <c r="B493" s="16" t="s">
        <v>1665</v>
      </c>
      <c r="C493" s="16"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1673</v>
      </c>
      <c r="B496" s="10" t="s">
        <v>1674</v>
      </c>
      <c r="C496" s="10"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1676</v>
      </c>
      <c r="B497" s="16" t="s">
        <v>1677</v>
      </c>
      <c r="C497" s="16"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1679</v>
      </c>
      <c r="B498" s="10" t="s">
        <v>1680</v>
      </c>
      <c r="C498" s="10" t="s">
        <v>1681</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1682</v>
      </c>
      <c r="B499" s="10" t="s">
        <v>1683</v>
      </c>
      <c r="C499" s="10" t="s">
        <v>1684</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1685</v>
      </c>
      <c r="B500" s="16" t="s">
        <v>1686</v>
      </c>
      <c r="C500" s="16" t="s">
        <v>1687</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1688</v>
      </c>
      <c r="B501" s="10" t="s">
        <v>1689</v>
      </c>
      <c r="C501" s="10" t="s">
        <v>1690</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1691</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1693</v>
      </c>
      <c r="C503" s="16"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1701</v>
      </c>
      <c r="B506" s="16" t="s">
        <v>1702</v>
      </c>
      <c r="C506" s="16"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1707</v>
      </c>
      <c r="B508" s="10" t="s">
        <v>1708</v>
      </c>
      <c r="C508" s="10"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1710</v>
      </c>
      <c r="B509" s="16" t="s">
        <v>1711</v>
      </c>
      <c r="C509" s="16"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1713</v>
      </c>
      <c r="B510" s="16" t="s">
        <v>1714</v>
      </c>
      <c r="C510" s="16"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1716</v>
      </c>
      <c r="B511" s="10" t="s">
        <v>1717</v>
      </c>
      <c r="C511" s="10"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1719</v>
      </c>
      <c r="B512" s="16" t="s">
        <v>1720</v>
      </c>
      <c r="C512" s="16"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1722</v>
      </c>
      <c r="B513" s="16" t="s">
        <v>1723</v>
      </c>
      <c r="C513" s="16"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1725</v>
      </c>
      <c r="B514" s="10"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1728</v>
      </c>
      <c r="B515" s="10" t="s">
        <v>1729</v>
      </c>
      <c r="C515" s="10"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21" t="s">
        <v>1731</v>
      </c>
      <c r="B516" s="21" t="s">
        <v>1732</v>
      </c>
      <c r="C516" s="10"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47" t="s">
        <v>1734</v>
      </c>
      <c r="B517" s="10" t="s">
        <v>1735</v>
      </c>
      <c r="C517" s="10"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1737</v>
      </c>
      <c r="B518" s="10" t="s">
        <v>1738</v>
      </c>
      <c r="C518" s="10"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1752</v>
      </c>
      <c r="B523" s="16" t="s">
        <v>1753</v>
      </c>
      <c r="C523" s="16"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1755</v>
      </c>
      <c r="B524" s="16" t="s">
        <v>1756</v>
      </c>
      <c r="C524" s="16"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1758</v>
      </c>
      <c r="B525" s="16" t="s">
        <v>1759</v>
      </c>
      <c r="C525" s="16"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1761</v>
      </c>
      <c r="B526" s="16" t="s">
        <v>1762</v>
      </c>
      <c r="C526" s="16"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1770</v>
      </c>
      <c r="B529" s="10" t="s">
        <v>1771</v>
      </c>
      <c r="C529" s="10"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1773</v>
      </c>
      <c r="B530" s="16" t="s">
        <v>1774</v>
      </c>
      <c r="C530" s="16"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1776</v>
      </c>
      <c r="B531" s="16" t="s">
        <v>1777</v>
      </c>
      <c r="C531" s="16"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1788</v>
      </c>
      <c r="B535" s="16" t="s">
        <v>1789</v>
      </c>
      <c r="C535" s="16"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1800</v>
      </c>
      <c r="B539" s="16" t="s">
        <v>1801</v>
      </c>
      <c r="C539" s="16"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1806</v>
      </c>
      <c r="B541" s="10" t="s">
        <v>1807</v>
      </c>
      <c r="C541" s="10"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1812</v>
      </c>
      <c r="B543" s="10" t="s">
        <v>1813</v>
      </c>
      <c r="C543" s="10"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1815</v>
      </c>
      <c r="B544" s="10" t="s">
        <v>1816</v>
      </c>
      <c r="C544" s="10"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1818</v>
      </c>
      <c r="B545" s="16" t="s">
        <v>1819</v>
      </c>
      <c r="C545" s="16"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1821</v>
      </c>
      <c r="B546" s="16" t="s">
        <v>1822</v>
      </c>
      <c r="C546" s="16"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1824</v>
      </c>
      <c r="B547" s="16" t="s">
        <v>1825</v>
      </c>
      <c r="C547" s="16"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1830</v>
      </c>
      <c r="B549" s="10" t="s">
        <v>1831</v>
      </c>
      <c r="C549" s="10"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1833</v>
      </c>
      <c r="B550" s="10" t="s">
        <v>1834</v>
      </c>
      <c r="C550" s="10"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1836</v>
      </c>
      <c r="B551" s="10" t="s">
        <v>1837</v>
      </c>
      <c r="C551" s="10"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1839</v>
      </c>
      <c r="B552" s="10" t="s">
        <v>1840</v>
      </c>
      <c r="C552" s="10"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1848</v>
      </c>
      <c r="B555" s="16" t="s">
        <v>1849</v>
      </c>
      <c r="C555" s="16"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1857</v>
      </c>
      <c r="B558" s="16" t="s">
        <v>1858</v>
      </c>
      <c r="C558" s="16"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1860</v>
      </c>
      <c r="B559" s="10" t="s">
        <v>1861</v>
      </c>
      <c r="C559" s="10"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1863</v>
      </c>
      <c r="B560" s="16" t="s">
        <v>1864</v>
      </c>
      <c r="C560" s="16"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1866</v>
      </c>
      <c r="B561" s="16" t="s">
        <v>1867</v>
      </c>
      <c r="C561" s="16"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21" t="s">
        <v>1878</v>
      </c>
      <c r="B565" s="21" t="s">
        <v>1879</v>
      </c>
      <c r="C565" s="10"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1881</v>
      </c>
      <c r="B566" s="10" t="s">
        <v>1882</v>
      </c>
      <c r="C566" s="10"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1884</v>
      </c>
      <c r="B567" s="16" t="s">
        <v>1885</v>
      </c>
      <c r="C567" s="16"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1887</v>
      </c>
      <c r="B568" s="10" t="s">
        <v>1888</v>
      </c>
      <c r="C568" s="10"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1890</v>
      </c>
      <c r="B569" s="16" t="s">
        <v>1891</v>
      </c>
      <c r="C569" s="16"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1899</v>
      </c>
      <c r="B572" s="16" t="s">
        <v>1900</v>
      </c>
      <c r="C572" s="16"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1902</v>
      </c>
      <c r="B573" s="10" t="s">
        <v>1903</v>
      </c>
      <c r="C573" s="10"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1905</v>
      </c>
      <c r="B574" s="16" t="s">
        <v>1906</v>
      </c>
      <c r="C574" s="16"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1908</v>
      </c>
      <c r="B575" s="16" t="s">
        <v>1909</v>
      </c>
      <c r="C575" s="16"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1911</v>
      </c>
      <c r="B576" s="10" t="s">
        <v>1912</v>
      </c>
      <c r="C576" s="10"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1914</v>
      </c>
      <c r="B577" s="10" t="s">
        <v>1915</v>
      </c>
      <c r="C577" s="10"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1917</v>
      </c>
      <c r="B578" s="10" t="s">
        <v>1918</v>
      </c>
      <c r="C578" s="10"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1920</v>
      </c>
      <c r="B579" s="10" t="s">
        <v>1921</v>
      </c>
      <c r="C579" s="10"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1932</v>
      </c>
      <c r="B583" s="10" t="s">
        <v>1933</v>
      </c>
      <c r="C583" s="10"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1950</v>
      </c>
      <c r="B589" s="16" t="s">
        <v>1951</v>
      </c>
      <c r="C589" s="16"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1959</v>
      </c>
      <c r="B592" s="10" t="s">
        <v>1960</v>
      </c>
      <c r="C592" s="10"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1965</v>
      </c>
      <c r="B594" s="16" t="s">
        <v>1966</v>
      </c>
      <c r="C594" s="16"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1971</v>
      </c>
      <c r="B596" s="16" t="s">
        <v>1972</v>
      </c>
      <c r="C596" s="16"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1974</v>
      </c>
      <c r="B597" s="10" t="s">
        <v>1975</v>
      </c>
      <c r="C597" s="10"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1977</v>
      </c>
      <c r="B598" s="16" t="s">
        <v>1978</v>
      </c>
      <c r="C598" s="16"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1983</v>
      </c>
      <c r="B600" s="16" t="s">
        <v>1984</v>
      </c>
      <c r="C600" s="16"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1986</v>
      </c>
      <c r="B601" s="10" t="s">
        <v>1987</v>
      </c>
      <c r="C601" s="10"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1992</v>
      </c>
      <c r="B603" s="16" t="s">
        <v>1993</v>
      </c>
      <c r="C603" s="16"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1995</v>
      </c>
      <c r="B604" s="10" t="s">
        <v>1996</v>
      </c>
      <c r="C604" s="10"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1998</v>
      </c>
      <c r="B605" s="10" t="s">
        <v>1999</v>
      </c>
      <c r="C605" s="10"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2007</v>
      </c>
      <c r="B608" s="16" t="s">
        <v>2008</v>
      </c>
      <c r="C608" s="16"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2010</v>
      </c>
      <c r="B609" s="16" t="s">
        <v>2011</v>
      </c>
      <c r="C609" s="16"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2016</v>
      </c>
      <c r="B611" s="10" t="s">
        <v>2017</v>
      </c>
      <c r="C611" s="10"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2019</v>
      </c>
      <c r="B612" s="10" t="s">
        <v>2020</v>
      </c>
      <c r="C612" s="10"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2037</v>
      </c>
      <c r="B618" s="10" t="s">
        <v>2038</v>
      </c>
      <c r="C618" s="10"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0" t="s">
        <v>2052</v>
      </c>
      <c r="B623" s="10" t="s">
        <v>2053</v>
      </c>
      <c r="C623" s="10"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6" t="s">
        <v>2082</v>
      </c>
      <c r="B633" s="16" t="s">
        <v>2083</v>
      </c>
      <c r="C633" s="16" t="s">
        <v>2084</v>
      </c>
      <c r="G633" s="8"/>
      <c r="H633" s="8"/>
      <c r="I633" s="8"/>
    </row>
    <row r="634">
      <c r="A634" s="16" t="s">
        <v>2085</v>
      </c>
      <c r="B634" s="16" t="s">
        <v>2086</v>
      </c>
      <c r="C634" s="16" t="s">
        <v>2087</v>
      </c>
      <c r="G634" s="8"/>
      <c r="H634" s="8"/>
      <c r="I634" s="8"/>
    </row>
    <row r="635">
      <c r="A635" s="10" t="s">
        <v>2088</v>
      </c>
      <c r="B635" s="10" t="s">
        <v>2089</v>
      </c>
      <c r="C635" s="10" t="s">
        <v>2090</v>
      </c>
      <c r="G635" s="8"/>
      <c r="H635" s="8"/>
      <c r="I635" s="8"/>
    </row>
    <row r="636">
      <c r="A636" s="10" t="s">
        <v>2091</v>
      </c>
      <c r="B636" s="10" t="s">
        <v>2092</v>
      </c>
      <c r="C636" s="10" t="s">
        <v>2093</v>
      </c>
      <c r="G636" s="8"/>
      <c r="H636" s="8"/>
      <c r="I636" s="8"/>
    </row>
    <row r="637">
      <c r="A637" s="16" t="s">
        <v>2094</v>
      </c>
      <c r="B637" s="16" t="s">
        <v>2095</v>
      </c>
      <c r="C637" s="16" t="s">
        <v>2096</v>
      </c>
      <c r="G637" s="8"/>
      <c r="H637" s="8"/>
      <c r="I637" s="8"/>
    </row>
    <row r="638">
      <c r="A638" s="10" t="s">
        <v>2097</v>
      </c>
      <c r="B638" s="10" t="s">
        <v>2098</v>
      </c>
      <c r="C638" s="10"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6" t="s">
        <v>2106</v>
      </c>
      <c r="B641" s="16" t="s">
        <v>2107</v>
      </c>
      <c r="C641" s="16" t="s">
        <v>2108</v>
      </c>
      <c r="G641" s="8"/>
      <c r="H641" s="8"/>
      <c r="I641" s="8"/>
    </row>
    <row r="642">
      <c r="A642" s="16" t="s">
        <v>2109</v>
      </c>
      <c r="B642" s="16" t="s">
        <v>2110</v>
      </c>
      <c r="C642" s="16" t="s">
        <v>2111</v>
      </c>
      <c r="G642" s="8"/>
      <c r="H642" s="8"/>
      <c r="I642" s="8"/>
    </row>
    <row r="643">
      <c r="A643" s="10" t="s">
        <v>2112</v>
      </c>
      <c r="B643" s="10" t="s">
        <v>2113</v>
      </c>
      <c r="C643" s="10" t="s">
        <v>2114</v>
      </c>
      <c r="G643" s="8"/>
      <c r="H643" s="8"/>
      <c r="I643" s="8"/>
    </row>
    <row r="644">
      <c r="A644" s="10" t="s">
        <v>2115</v>
      </c>
      <c r="B644" s="10" t="s">
        <v>2116</v>
      </c>
      <c r="C644" s="10"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6" t="s">
        <v>2127</v>
      </c>
      <c r="B648" s="16" t="s">
        <v>2128</v>
      </c>
      <c r="C648" s="16" t="s">
        <v>2129</v>
      </c>
      <c r="G648" s="8"/>
      <c r="H648" s="8"/>
      <c r="I648" s="8"/>
    </row>
    <row r="649">
      <c r="A649" s="16" t="s">
        <v>2130</v>
      </c>
      <c r="B649" s="16" t="s">
        <v>2131</v>
      </c>
      <c r="C649" s="16" t="s">
        <v>2132</v>
      </c>
      <c r="G649" s="8"/>
      <c r="H649" s="8"/>
      <c r="I649" s="8"/>
    </row>
    <row r="650">
      <c r="A650" s="10" t="s">
        <v>2133</v>
      </c>
      <c r="B650" s="10" t="s">
        <v>2134</v>
      </c>
      <c r="C650" s="10"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0" t="s">
        <v>2142</v>
      </c>
      <c r="B653" s="10" t="s">
        <v>2143</v>
      </c>
      <c r="C653" s="10" t="s">
        <v>2144</v>
      </c>
      <c r="G653" s="8"/>
      <c r="H653" s="8"/>
      <c r="I653" s="8"/>
    </row>
    <row r="654">
      <c r="A654" s="16" t="s">
        <v>2145</v>
      </c>
      <c r="B654" s="16" t="s">
        <v>2146</v>
      </c>
      <c r="C654" s="16" t="s">
        <v>2147</v>
      </c>
      <c r="G654" s="8"/>
      <c r="H654" s="8"/>
      <c r="I654" s="8"/>
    </row>
    <row r="655">
      <c r="A655" s="16" t="s">
        <v>2148</v>
      </c>
      <c r="B655" s="16" t="s">
        <v>2149</v>
      </c>
      <c r="C655" s="16" t="s">
        <v>2150</v>
      </c>
      <c r="G655" s="8"/>
      <c r="H655" s="8"/>
      <c r="I655" s="8"/>
    </row>
    <row r="656">
      <c r="A656" s="16" t="s">
        <v>2151</v>
      </c>
      <c r="B656" s="16" t="s">
        <v>2152</v>
      </c>
      <c r="C656" s="16" t="s">
        <v>2153</v>
      </c>
      <c r="G656" s="8"/>
      <c r="H656" s="8"/>
      <c r="I656" s="8"/>
    </row>
    <row r="657">
      <c r="A657" s="10" t="s">
        <v>2154</v>
      </c>
      <c r="B657" s="10" t="s">
        <v>2155</v>
      </c>
      <c r="C657" s="10" t="s">
        <v>2156</v>
      </c>
      <c r="G657" s="8"/>
      <c r="H657" s="8"/>
      <c r="I657" s="8"/>
    </row>
    <row r="658">
      <c r="A658" s="10" t="s">
        <v>2157</v>
      </c>
      <c r="B658" s="10" t="s">
        <v>2158</v>
      </c>
      <c r="C658" s="10" t="s">
        <v>2159</v>
      </c>
      <c r="G658" s="8"/>
      <c r="H658" s="8"/>
      <c r="I658" s="8"/>
    </row>
    <row r="659">
      <c r="A659" s="10" t="s">
        <v>2160</v>
      </c>
      <c r="B659" s="10" t="s">
        <v>2161</v>
      </c>
      <c r="C659" s="10" t="s">
        <v>2162</v>
      </c>
      <c r="G659" s="8"/>
      <c r="H659" s="8"/>
      <c r="I659" s="8"/>
    </row>
    <row r="660">
      <c r="A660" s="16" t="s">
        <v>2163</v>
      </c>
      <c r="B660" s="16" t="s">
        <v>2164</v>
      </c>
      <c r="C660" s="16" t="s">
        <v>2165</v>
      </c>
      <c r="G660" s="8"/>
      <c r="H660" s="8"/>
      <c r="I660" s="8"/>
    </row>
    <row r="661">
      <c r="A661" s="10" t="s">
        <v>2166</v>
      </c>
      <c r="B661" s="10" t="s">
        <v>2167</v>
      </c>
      <c r="C661" s="10" t="s">
        <v>2168</v>
      </c>
      <c r="G661" s="8"/>
      <c r="H661" s="8"/>
      <c r="I661" s="8"/>
    </row>
    <row r="662">
      <c r="A662" s="10" t="s">
        <v>2169</v>
      </c>
      <c r="B662" s="10" t="s">
        <v>2170</v>
      </c>
      <c r="C662" s="10" t="s">
        <v>2171</v>
      </c>
      <c r="G662" s="8"/>
      <c r="H662" s="8"/>
      <c r="I662" s="8"/>
    </row>
    <row r="663">
      <c r="A663" s="10" t="s">
        <v>2172</v>
      </c>
      <c r="B663" s="10" t="s">
        <v>2173</v>
      </c>
      <c r="C663" s="10" t="s">
        <v>2174</v>
      </c>
      <c r="G663" s="8"/>
      <c r="H663" s="8"/>
      <c r="I663" s="8"/>
    </row>
    <row r="664">
      <c r="A664" s="16" t="s">
        <v>2175</v>
      </c>
      <c r="B664" s="16" t="s">
        <v>2176</v>
      </c>
      <c r="C664" s="16" t="s">
        <v>2177</v>
      </c>
      <c r="G664" s="8"/>
      <c r="H664" s="8"/>
      <c r="I664" s="8"/>
    </row>
    <row r="665">
      <c r="A665" s="16" t="s">
        <v>2178</v>
      </c>
      <c r="B665" s="16" t="s">
        <v>2179</v>
      </c>
      <c r="C665" s="16" t="s">
        <v>2180</v>
      </c>
      <c r="G665" s="8"/>
      <c r="H665" s="8"/>
      <c r="I665" s="8"/>
    </row>
    <row r="666">
      <c r="A666" s="16" t="s">
        <v>2181</v>
      </c>
      <c r="B666" s="16" t="s">
        <v>2182</v>
      </c>
      <c r="C666" s="16" t="s">
        <v>2183</v>
      </c>
      <c r="G666" s="8"/>
      <c r="H666" s="8"/>
      <c r="I666" s="8"/>
    </row>
    <row r="667">
      <c r="A667" s="10" t="s">
        <v>2184</v>
      </c>
      <c r="B667" s="10" t="s">
        <v>2185</v>
      </c>
      <c r="C667" s="10" t="s">
        <v>2186</v>
      </c>
      <c r="G667" s="8"/>
      <c r="H667" s="8"/>
      <c r="I667" s="8"/>
    </row>
    <row r="668">
      <c r="A668" s="16" t="s">
        <v>2187</v>
      </c>
      <c r="B668" s="16" t="s">
        <v>2188</v>
      </c>
      <c r="C668" s="16" t="s">
        <v>2189</v>
      </c>
      <c r="G668" s="8"/>
      <c r="H668" s="8"/>
      <c r="I668" s="8"/>
    </row>
    <row r="669">
      <c r="A669" s="10" t="s">
        <v>2190</v>
      </c>
      <c r="B669" s="10" t="s">
        <v>2191</v>
      </c>
      <c r="C669" s="10" t="s">
        <v>2192</v>
      </c>
      <c r="G669" s="8"/>
      <c r="H669" s="8"/>
      <c r="I669" s="8"/>
    </row>
    <row r="670">
      <c r="A670" s="10" t="s">
        <v>2193</v>
      </c>
      <c r="B670" s="10" t="s">
        <v>2194</v>
      </c>
      <c r="C670" s="10" t="s">
        <v>2195</v>
      </c>
      <c r="G670" s="8"/>
      <c r="H670" s="8"/>
      <c r="I670" s="8"/>
    </row>
    <row r="671">
      <c r="A671" s="16" t="s">
        <v>2196</v>
      </c>
      <c r="B671" s="16" t="s">
        <v>2197</v>
      </c>
      <c r="C671" s="16" t="s">
        <v>2198</v>
      </c>
      <c r="G671" s="8"/>
      <c r="H671" s="8"/>
      <c r="I671" s="8"/>
    </row>
    <row r="672">
      <c r="A672" s="10" t="s">
        <v>2199</v>
      </c>
      <c r="B672" s="10" t="s">
        <v>2200</v>
      </c>
      <c r="C672" s="10" t="s">
        <v>2201</v>
      </c>
      <c r="G672" s="8"/>
      <c r="H672" s="8"/>
      <c r="I672" s="8"/>
    </row>
    <row r="673">
      <c r="A673" s="16" t="s">
        <v>2202</v>
      </c>
      <c r="B673" s="16" t="s">
        <v>2203</v>
      </c>
      <c r="C673" s="16"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0" t="s">
        <v>2214</v>
      </c>
      <c r="B677" s="10" t="s">
        <v>2215</v>
      </c>
      <c r="C677" s="10"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6" t="s">
        <v>2241</v>
      </c>
      <c r="B686" s="16" t="s">
        <v>2242</v>
      </c>
      <c r="C686" s="16" t="s">
        <v>2243</v>
      </c>
      <c r="G686" s="8"/>
      <c r="H686" s="8"/>
      <c r="I686" s="8"/>
    </row>
    <row r="687">
      <c r="A687" s="10" t="s">
        <v>2244</v>
      </c>
      <c r="B687" s="10" t="s">
        <v>2245</v>
      </c>
      <c r="C687" s="10" t="s">
        <v>2246</v>
      </c>
      <c r="G687" s="8"/>
      <c r="H687" s="8"/>
      <c r="I687" s="8"/>
    </row>
    <row r="688">
      <c r="A688" s="10" t="s">
        <v>2247</v>
      </c>
      <c r="B688" s="10" t="s">
        <v>2248</v>
      </c>
      <c r="C688" s="10" t="s">
        <v>2249</v>
      </c>
      <c r="G688" s="8"/>
      <c r="H688" s="8"/>
      <c r="I688" s="8"/>
    </row>
    <row r="689">
      <c r="A689" s="16" t="s">
        <v>2250</v>
      </c>
      <c r="B689" s="16" t="s">
        <v>2251</v>
      </c>
      <c r="C689" s="16" t="s">
        <v>2252</v>
      </c>
      <c r="G689" s="8"/>
      <c r="H689" s="8"/>
      <c r="I689" s="8"/>
    </row>
    <row r="690">
      <c r="A690" s="16" t="s">
        <v>2253</v>
      </c>
      <c r="B690" s="16" t="s">
        <v>2254</v>
      </c>
      <c r="C690" s="16" t="s">
        <v>2255</v>
      </c>
      <c r="G690" s="8"/>
      <c r="H690" s="8"/>
      <c r="I690" s="8"/>
    </row>
    <row r="691">
      <c r="A691" s="10" t="s">
        <v>2256</v>
      </c>
      <c r="B691" s="10" t="s">
        <v>2257</v>
      </c>
      <c r="C691" s="10" t="s">
        <v>2258</v>
      </c>
      <c r="G691" s="8"/>
      <c r="H691" s="8"/>
      <c r="I691" s="8"/>
    </row>
    <row r="692">
      <c r="A692" s="10" t="s">
        <v>2259</v>
      </c>
      <c r="B692" s="10" t="s">
        <v>2260</v>
      </c>
      <c r="C692" s="10"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6" t="s">
        <v>2271</v>
      </c>
      <c r="B696" s="16" t="s">
        <v>2272</v>
      </c>
      <c r="C696" s="16" t="s">
        <v>2273</v>
      </c>
      <c r="G696" s="8"/>
      <c r="H696" s="8"/>
      <c r="I696" s="8"/>
    </row>
    <row r="697">
      <c r="A697" s="10" t="s">
        <v>2274</v>
      </c>
      <c r="B697" s="10" t="s">
        <v>2275</v>
      </c>
      <c r="C697" s="10" t="s">
        <v>2276</v>
      </c>
      <c r="G697" s="8"/>
      <c r="H697" s="8"/>
      <c r="I697" s="8"/>
    </row>
    <row r="698">
      <c r="A698" s="10" t="s">
        <v>2277</v>
      </c>
      <c r="B698" s="10" t="s">
        <v>2278</v>
      </c>
      <c r="C698" s="10"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6" t="s">
        <v>2286</v>
      </c>
      <c r="B701" s="16" t="s">
        <v>2287</v>
      </c>
      <c r="C701" s="16"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0" t="s">
        <v>2301</v>
      </c>
      <c r="B706" s="10" t="s">
        <v>2302</v>
      </c>
      <c r="C706" s="10" t="s">
        <v>2303</v>
      </c>
      <c r="G706" s="8"/>
      <c r="H706" s="8"/>
      <c r="I706" s="8"/>
    </row>
    <row r="707">
      <c r="A707" s="16" t="s">
        <v>2304</v>
      </c>
      <c r="B707" s="16" t="s">
        <v>2305</v>
      </c>
      <c r="C707" s="16" t="s">
        <v>2306</v>
      </c>
      <c r="G707" s="8"/>
      <c r="H707" s="8"/>
      <c r="I707" s="8"/>
    </row>
    <row r="708">
      <c r="A708" s="16" t="s">
        <v>2307</v>
      </c>
      <c r="B708" s="16" t="s">
        <v>2308</v>
      </c>
      <c r="C708" s="16" t="s">
        <v>2309</v>
      </c>
      <c r="G708" s="8"/>
      <c r="H708" s="8"/>
      <c r="I708" s="8"/>
    </row>
    <row r="709">
      <c r="A709" s="21" t="s">
        <v>2310</v>
      </c>
      <c r="B709" s="21" t="s">
        <v>2311</v>
      </c>
      <c r="C709" s="10" t="s">
        <v>2312</v>
      </c>
      <c r="G709" s="8"/>
      <c r="H709" s="8"/>
      <c r="I709" s="8"/>
    </row>
    <row r="710">
      <c r="A710" s="16" t="s">
        <v>2313</v>
      </c>
      <c r="B710" s="16" t="s">
        <v>2314</v>
      </c>
      <c r="C710" s="16" t="s">
        <v>2315</v>
      </c>
      <c r="G710" s="8"/>
      <c r="H710" s="8"/>
      <c r="I710" s="8"/>
    </row>
    <row r="711">
      <c r="A711" s="16" t="s">
        <v>2316</v>
      </c>
      <c r="B711" s="16" t="s">
        <v>2317</v>
      </c>
      <c r="C711" s="16" t="s">
        <v>2318</v>
      </c>
      <c r="G711" s="8"/>
      <c r="H711" s="8"/>
      <c r="I711" s="8"/>
    </row>
    <row r="712">
      <c r="A712" s="10" t="s">
        <v>2319</v>
      </c>
      <c r="B712" s="10" t="s">
        <v>2320</v>
      </c>
      <c r="C712" s="10" t="s">
        <v>2321</v>
      </c>
      <c r="G712" s="8"/>
      <c r="H712" s="8"/>
      <c r="I712" s="8"/>
    </row>
    <row r="713">
      <c r="A713" s="10" t="s">
        <v>2322</v>
      </c>
      <c r="B713" s="10" t="s">
        <v>2323</v>
      </c>
      <c r="C713" s="10" t="s">
        <v>2324</v>
      </c>
      <c r="G713" s="8"/>
      <c r="H713" s="8"/>
      <c r="I713" s="8"/>
    </row>
    <row r="714">
      <c r="A714" s="16" t="s">
        <v>2325</v>
      </c>
      <c r="B714" s="16" t="s">
        <v>2326</v>
      </c>
      <c r="C714" s="16" t="s">
        <v>2327</v>
      </c>
      <c r="G714" s="8"/>
      <c r="H714" s="8"/>
      <c r="I714" s="8"/>
    </row>
    <row r="715">
      <c r="A715" s="16" t="s">
        <v>2328</v>
      </c>
      <c r="B715" s="16" t="s">
        <v>2329</v>
      </c>
      <c r="C715" s="16" t="s">
        <v>2330</v>
      </c>
      <c r="G715" s="8"/>
      <c r="H715" s="8"/>
      <c r="I715" s="8"/>
    </row>
    <row r="716">
      <c r="A716" s="10" t="s">
        <v>2331</v>
      </c>
      <c r="B716" s="10" t="s">
        <v>2332</v>
      </c>
      <c r="C716" s="10"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0" t="s">
        <v>2364</v>
      </c>
      <c r="B727" s="10" t="s">
        <v>2365</v>
      </c>
      <c r="C727" s="10" t="s">
        <v>2366</v>
      </c>
      <c r="G727" s="8"/>
      <c r="H727" s="8"/>
      <c r="I727" s="8"/>
    </row>
    <row r="728">
      <c r="A728" s="16" t="s">
        <v>2367</v>
      </c>
      <c r="B728" s="16" t="s">
        <v>2368</v>
      </c>
      <c r="C728" s="16" t="s">
        <v>2369</v>
      </c>
      <c r="G728" s="8"/>
      <c r="H728" s="8"/>
      <c r="I728" s="8"/>
    </row>
    <row r="729">
      <c r="A729" s="16" t="s">
        <v>2370</v>
      </c>
      <c r="B729" s="16" t="s">
        <v>2371</v>
      </c>
      <c r="C729" s="16"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6" t="s">
        <v>2394</v>
      </c>
      <c r="B737" s="16" t="s">
        <v>2395</v>
      </c>
      <c r="C737" s="16"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6" t="s">
        <v>2406</v>
      </c>
      <c r="B741" s="16" t="s">
        <v>2407</v>
      </c>
      <c r="C741" s="16" t="s">
        <v>2408</v>
      </c>
      <c r="G741" s="8"/>
      <c r="H741" s="8"/>
      <c r="I741" s="8"/>
    </row>
    <row r="742">
      <c r="A742" s="10" t="s">
        <v>2409</v>
      </c>
      <c r="B742" s="10"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0" t="s">
        <v>2427</v>
      </c>
      <c r="B748" s="10" t="s">
        <v>2428</v>
      </c>
      <c r="C748" s="10"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6" t="s">
        <v>2436</v>
      </c>
      <c r="B751" s="16" t="s">
        <v>2437</v>
      </c>
      <c r="C751" s="16" t="s">
        <v>2438</v>
      </c>
      <c r="G751" s="8"/>
      <c r="H751" s="8"/>
      <c r="I751" s="8"/>
    </row>
    <row r="752">
      <c r="A752" s="10" t="s">
        <v>2439</v>
      </c>
      <c r="B752" s="10" t="s">
        <v>2440</v>
      </c>
      <c r="C752" s="10" t="s">
        <v>2441</v>
      </c>
      <c r="G752" s="8"/>
      <c r="H752" s="8"/>
      <c r="I752" s="8"/>
    </row>
    <row r="753">
      <c r="A753" s="16" t="s">
        <v>2442</v>
      </c>
      <c r="B753" s="16" t="s">
        <v>2443</v>
      </c>
      <c r="C753" s="16"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0" t="s">
        <v>2463</v>
      </c>
      <c r="B760" s="10" t="s">
        <v>2464</v>
      </c>
      <c r="C760" s="10" t="s">
        <v>2465</v>
      </c>
      <c r="G760" s="8"/>
      <c r="H760" s="8"/>
      <c r="I760" s="8"/>
    </row>
    <row r="761">
      <c r="A761" s="21" t="s">
        <v>2466</v>
      </c>
      <c r="B761" s="21" t="s">
        <v>2467</v>
      </c>
      <c r="C761" s="48"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6" t="s">
        <v>2479</v>
      </c>
      <c r="C765" s="16" t="s">
        <v>2480</v>
      </c>
      <c r="G765" s="8"/>
      <c r="H765" s="8"/>
      <c r="I765" s="8"/>
    </row>
    <row r="766">
      <c r="A766" s="16" t="s">
        <v>2481</v>
      </c>
      <c r="B766" s="16" t="s">
        <v>2482</v>
      </c>
      <c r="C766" s="16"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6" t="s">
        <v>2499</v>
      </c>
      <c r="B772" s="16" t="s">
        <v>2500</v>
      </c>
      <c r="C772" s="16" t="s">
        <v>2501</v>
      </c>
      <c r="G772" s="8"/>
      <c r="H772" s="8"/>
      <c r="I772" s="8"/>
    </row>
    <row r="773">
      <c r="A773" s="16" t="s">
        <v>2502</v>
      </c>
      <c r="B773" s="16" t="s">
        <v>2503</v>
      </c>
      <c r="C773" s="16"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0" t="s">
        <v>2511</v>
      </c>
      <c r="B776" s="10" t="s">
        <v>2512</v>
      </c>
      <c r="C776" s="10"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0" t="s">
        <v>2526</v>
      </c>
      <c r="B781" s="10" t="s">
        <v>2527</v>
      </c>
      <c r="C781" s="10" t="s">
        <v>2528</v>
      </c>
      <c r="G781" s="8"/>
      <c r="H781" s="8"/>
      <c r="I781" s="8"/>
    </row>
    <row r="782">
      <c r="A782" s="16" t="s">
        <v>2529</v>
      </c>
      <c r="B782" s="10" t="s">
        <v>2530</v>
      </c>
      <c r="C782" s="16" t="s">
        <v>2531</v>
      </c>
      <c r="G782" s="8"/>
      <c r="H782" s="8"/>
      <c r="I782" s="8"/>
    </row>
    <row r="783">
      <c r="A783" s="10" t="s">
        <v>2532</v>
      </c>
      <c r="B783" s="10" t="s">
        <v>2533</v>
      </c>
      <c r="C783" s="10" t="s">
        <v>2534</v>
      </c>
      <c r="G783" s="8"/>
      <c r="H783" s="8"/>
      <c r="I783" s="8"/>
    </row>
    <row r="784">
      <c r="A784" s="16" t="s">
        <v>2535</v>
      </c>
      <c r="B784" s="16" t="s">
        <v>2536</v>
      </c>
      <c r="C784" s="16" t="s">
        <v>2537</v>
      </c>
      <c r="G784" s="8"/>
      <c r="H784" s="8"/>
      <c r="I784" s="8"/>
    </row>
    <row r="785">
      <c r="A785" s="10" t="s">
        <v>2538</v>
      </c>
      <c r="B785" s="16" t="s">
        <v>2539</v>
      </c>
      <c r="C785" s="10" t="s">
        <v>2540</v>
      </c>
      <c r="G785" s="8"/>
      <c r="H785" s="8"/>
      <c r="I785" s="8"/>
    </row>
    <row r="786">
      <c r="A786" s="16" t="s">
        <v>2541</v>
      </c>
      <c r="B786" s="16" t="s">
        <v>2542</v>
      </c>
      <c r="C786" s="16" t="s">
        <v>2543</v>
      </c>
      <c r="G786" s="8"/>
      <c r="H786" s="8"/>
      <c r="I786" s="8"/>
    </row>
    <row r="787">
      <c r="A787" s="16" t="s">
        <v>2544</v>
      </c>
      <c r="B787" s="16" t="s">
        <v>2545</v>
      </c>
      <c r="C787" s="16"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21" t="s">
        <v>2559</v>
      </c>
      <c r="B792" s="21"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0" t="s">
        <v>2568</v>
      </c>
      <c r="B795" s="10" t="s">
        <v>2569</v>
      </c>
      <c r="C795" s="10"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0" t="s">
        <v>2584</v>
      </c>
      <c r="C800" s="10"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0" t="s">
        <v>2616</v>
      </c>
      <c r="B811" s="10" t="s">
        <v>2617</v>
      </c>
      <c r="C811" s="10"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0" t="s">
        <v>2652</v>
      </c>
      <c r="B823" s="10" t="s">
        <v>2653</v>
      </c>
      <c r="C823" s="10"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2668</v>
      </c>
      <c r="C828" s="16" t="s">
        <v>2669</v>
      </c>
      <c r="G828" s="8"/>
      <c r="H828" s="8"/>
      <c r="I828" s="8"/>
    </row>
    <row r="829">
      <c r="A829" s="16" t="s">
        <v>2670</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6" t="s">
        <v>2690</v>
      </c>
      <c r="B836" s="16" t="s">
        <v>2691</v>
      </c>
      <c r="C836" s="16" t="s">
        <v>2692</v>
      </c>
      <c r="G836" s="8"/>
      <c r="H836" s="8"/>
      <c r="I836" s="8"/>
    </row>
    <row r="837">
      <c r="A837" s="10" t="s">
        <v>2693</v>
      </c>
      <c r="B837" s="10" t="s">
        <v>2694</v>
      </c>
      <c r="C837" s="10" t="s">
        <v>2695</v>
      </c>
      <c r="G837" s="8"/>
      <c r="H837" s="8"/>
      <c r="I837" s="8"/>
    </row>
    <row r="838">
      <c r="A838" s="16" t="s">
        <v>2696</v>
      </c>
      <c r="B838" s="16" t="s">
        <v>2697</v>
      </c>
      <c r="C838" s="16" t="s">
        <v>2698</v>
      </c>
      <c r="G838" s="8"/>
      <c r="H838" s="8"/>
      <c r="I838" s="8"/>
    </row>
    <row r="839">
      <c r="A839" s="10" t="s">
        <v>2699</v>
      </c>
      <c r="B839" s="10" t="s">
        <v>2700</v>
      </c>
      <c r="C839" s="10" t="s">
        <v>2701</v>
      </c>
      <c r="G839" s="8"/>
      <c r="H839" s="8"/>
      <c r="I839" s="8"/>
    </row>
    <row r="840">
      <c r="A840" s="10" t="s">
        <v>2702</v>
      </c>
      <c r="B840" s="10" t="s">
        <v>2703</v>
      </c>
      <c r="C840" s="10" t="s">
        <v>2704</v>
      </c>
      <c r="G840" s="8"/>
      <c r="H840" s="8"/>
      <c r="I840" s="8"/>
    </row>
    <row r="841">
      <c r="A841" s="16" t="s">
        <v>2705</v>
      </c>
      <c r="B841" s="16" t="s">
        <v>2706</v>
      </c>
      <c r="C841" s="16" t="s">
        <v>2707</v>
      </c>
      <c r="G841" s="8"/>
      <c r="H841" s="8"/>
      <c r="I841" s="8"/>
    </row>
    <row r="842">
      <c r="A842" s="16" t="s">
        <v>2708</v>
      </c>
      <c r="B842" s="16" t="s">
        <v>2709</v>
      </c>
      <c r="C842" s="16" t="s">
        <v>2710</v>
      </c>
      <c r="G842" s="8"/>
      <c r="H842" s="8"/>
      <c r="I842" s="8"/>
    </row>
    <row r="843">
      <c r="A843" s="10" t="s">
        <v>2711</v>
      </c>
      <c r="B843" s="10" t="s">
        <v>2712</v>
      </c>
      <c r="C843" s="10" t="s">
        <v>2713</v>
      </c>
      <c r="G843" s="8"/>
      <c r="H843" s="8"/>
      <c r="I843" s="8"/>
    </row>
    <row r="844">
      <c r="A844" s="10" t="s">
        <v>2714</v>
      </c>
      <c r="B844" s="10" t="s">
        <v>2715</v>
      </c>
      <c r="C844" s="10" t="s">
        <v>2716</v>
      </c>
      <c r="G844" s="8"/>
      <c r="H844" s="8"/>
      <c r="I844" s="8"/>
    </row>
    <row r="845">
      <c r="A845" s="16" t="s">
        <v>2717</v>
      </c>
      <c r="B845" s="16" t="s">
        <v>2718</v>
      </c>
      <c r="C845" s="16" t="s">
        <v>2719</v>
      </c>
      <c r="G845" s="8"/>
      <c r="H845" s="8"/>
      <c r="I845" s="8"/>
    </row>
    <row r="846">
      <c r="A846" s="10" t="s">
        <v>2720</v>
      </c>
      <c r="B846" s="10" t="s">
        <v>2721</v>
      </c>
      <c r="C846" s="10"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A955" s="8"/>
      <c r="B955" s="8"/>
      <c r="C955" s="8"/>
      <c r="G955" s="8"/>
      <c r="H955" s="8"/>
      <c r="I955" s="8"/>
    </row>
    <row r="956">
      <c r="A956" s="8"/>
      <c r="B956" s="8"/>
      <c r="C956" s="8"/>
      <c r="G956" s="8"/>
      <c r="H956" s="8"/>
      <c r="I956" s="8"/>
    </row>
    <row r="957">
      <c r="A957" s="8"/>
      <c r="B957" s="8"/>
      <c r="C957" s="8"/>
      <c r="G957" s="8"/>
      <c r="H957" s="8"/>
      <c r="I957" s="8"/>
    </row>
    <row r="958">
      <c r="A958" s="8"/>
      <c r="B958" s="8"/>
      <c r="C958" s="8"/>
      <c r="G958" s="8"/>
      <c r="H958" s="8"/>
      <c r="I958" s="8"/>
    </row>
    <row r="959">
      <c r="A959" s="8"/>
      <c r="B959" s="8"/>
      <c r="C959" s="8"/>
      <c r="G959" s="8"/>
      <c r="H959" s="8"/>
      <c r="I959" s="8"/>
    </row>
    <row r="960">
      <c r="A960" s="8"/>
      <c r="B960" s="8"/>
      <c r="C960" s="8"/>
      <c r="G960" s="8"/>
      <c r="H960" s="8"/>
      <c r="I960" s="8"/>
    </row>
    <row r="961">
      <c r="A961" s="8"/>
      <c r="B961" s="8"/>
      <c r="C961" s="8"/>
      <c r="G961" s="8"/>
      <c r="H961" s="8"/>
      <c r="I961" s="8"/>
    </row>
    <row r="962">
      <c r="A962" s="8"/>
      <c r="B962" s="8"/>
      <c r="C962" s="8"/>
      <c r="G962" s="8"/>
      <c r="H962" s="8"/>
      <c r="I962" s="8"/>
    </row>
    <row r="963">
      <c r="A963" s="8"/>
      <c r="B963" s="8"/>
      <c r="C963" s="8"/>
      <c r="G963" s="8"/>
      <c r="H963" s="8"/>
      <c r="I963" s="8"/>
    </row>
    <row r="964">
      <c r="A964" s="8"/>
      <c r="B964" s="8"/>
      <c r="C964" s="8"/>
      <c r="G964" s="8"/>
      <c r="H964" s="8"/>
      <c r="I964" s="8"/>
    </row>
    <row r="965">
      <c r="A965" s="8"/>
      <c r="B965" s="8"/>
      <c r="C965" s="8"/>
      <c r="G965" s="8"/>
      <c r="H965" s="8"/>
      <c r="I965" s="8"/>
    </row>
    <row r="966">
      <c r="A966" s="8"/>
      <c r="B966" s="8"/>
      <c r="C966" s="8"/>
      <c r="G966" s="8"/>
      <c r="H966" s="8"/>
      <c r="I966" s="8"/>
    </row>
    <row r="967">
      <c r="A967" s="8"/>
      <c r="B967" s="8"/>
      <c r="C967" s="8"/>
      <c r="G967" s="8"/>
      <c r="H967" s="8"/>
      <c r="I967" s="8"/>
    </row>
    <row r="968">
      <c r="A968" s="8"/>
      <c r="B968" s="8"/>
      <c r="C968" s="8"/>
      <c r="G968" s="8"/>
      <c r="H968" s="8"/>
      <c r="I968" s="8"/>
    </row>
    <row r="969">
      <c r="A969" s="8"/>
      <c r="B969" s="8"/>
      <c r="C969" s="8"/>
      <c r="G969" s="8"/>
      <c r="H969" s="8"/>
      <c r="I969" s="8"/>
    </row>
    <row r="970">
      <c r="A970" s="8"/>
      <c r="B970" s="8"/>
      <c r="C970" s="8"/>
      <c r="G970" s="8"/>
      <c r="H970" s="8"/>
      <c r="I970" s="8"/>
    </row>
    <row r="971">
      <c r="A971" s="8"/>
      <c r="B971" s="8"/>
      <c r="C971" s="8"/>
      <c r="G971" s="8"/>
      <c r="H971" s="8"/>
      <c r="I971" s="8"/>
    </row>
    <row r="972">
      <c r="A972" s="8"/>
      <c r="B972" s="8"/>
      <c r="C972" s="8"/>
      <c r="G972" s="8"/>
      <c r="H972" s="8"/>
      <c r="I972" s="8"/>
    </row>
    <row r="973">
      <c r="A973" s="8"/>
      <c r="B973" s="8"/>
      <c r="C973" s="8"/>
      <c r="G973" s="8"/>
      <c r="H973" s="8"/>
      <c r="I973" s="8"/>
    </row>
    <row r="974">
      <c r="A974" s="8"/>
      <c r="B974" s="8"/>
      <c r="C974" s="8"/>
      <c r="G974" s="8"/>
      <c r="H974" s="8"/>
      <c r="I974" s="8"/>
    </row>
    <row r="975">
      <c r="A975" s="8"/>
      <c r="B975" s="8"/>
      <c r="C975" s="8"/>
      <c r="G975" s="8"/>
      <c r="H975" s="8"/>
      <c r="I975" s="8"/>
    </row>
    <row r="976">
      <c r="A976" s="8"/>
      <c r="B976" s="8"/>
      <c r="C976" s="8"/>
      <c r="G976" s="8"/>
      <c r="H976" s="8"/>
      <c r="I976" s="8"/>
    </row>
    <row r="977">
      <c r="A977" s="8"/>
      <c r="B977" s="8"/>
      <c r="C977" s="8"/>
      <c r="G977" s="8"/>
      <c r="H977" s="8"/>
      <c r="I977" s="8"/>
    </row>
    <row r="978">
      <c r="A978" s="8"/>
      <c r="B978" s="8"/>
      <c r="C978" s="8"/>
      <c r="G978" s="8"/>
      <c r="H978" s="8"/>
      <c r="I978" s="8"/>
    </row>
    <row r="979">
      <c r="A979" s="8"/>
      <c r="B979" s="8"/>
      <c r="C979" s="8"/>
      <c r="G979" s="8"/>
      <c r="H979" s="8"/>
      <c r="I979" s="8"/>
    </row>
    <row r="980">
      <c r="A980" s="8"/>
      <c r="B980" s="8"/>
      <c r="C980" s="8"/>
      <c r="G980" s="8"/>
      <c r="H980" s="8"/>
      <c r="I980" s="8"/>
    </row>
    <row r="981">
      <c r="A981" s="8"/>
      <c r="B981" s="8"/>
      <c r="C981" s="8"/>
      <c r="G981" s="8"/>
      <c r="H981" s="8"/>
      <c r="I981" s="8"/>
    </row>
    <row r="982">
      <c r="A982" s="8"/>
      <c r="B982" s="8"/>
      <c r="C982" s="8"/>
      <c r="G982" s="8"/>
      <c r="H982" s="8"/>
      <c r="I982" s="8"/>
    </row>
    <row r="983">
      <c r="A983" s="8"/>
      <c r="B983" s="8"/>
      <c r="C983" s="8"/>
      <c r="G983" s="8"/>
      <c r="H983" s="8"/>
      <c r="I983" s="8"/>
    </row>
    <row r="984">
      <c r="A984" s="8"/>
      <c r="B984" s="8"/>
      <c r="C984" s="8"/>
      <c r="G984" s="8"/>
      <c r="H984" s="8"/>
      <c r="I984" s="8"/>
    </row>
    <row r="985">
      <c r="A985" s="8"/>
      <c r="B985" s="8"/>
      <c r="C985" s="8"/>
      <c r="G985" s="8"/>
      <c r="H985" s="8"/>
      <c r="I985" s="8"/>
    </row>
    <row r="986">
      <c r="A986" s="8"/>
      <c r="B986" s="8"/>
      <c r="C986" s="8"/>
      <c r="G986" s="8"/>
      <c r="H986" s="8"/>
      <c r="I986" s="8"/>
    </row>
    <row r="987">
      <c r="A987" s="8"/>
      <c r="B987" s="8"/>
      <c r="C987" s="8"/>
      <c r="G987" s="8"/>
      <c r="H987" s="8"/>
      <c r="I987" s="8"/>
    </row>
    <row r="988">
      <c r="A988" s="8"/>
      <c r="B988" s="8"/>
      <c r="C988" s="8"/>
      <c r="G988" s="8"/>
      <c r="H988" s="8"/>
      <c r="I988" s="8"/>
    </row>
    <row r="989">
      <c r="A989" s="8"/>
      <c r="B989" s="8"/>
      <c r="C989" s="8"/>
      <c r="G989" s="8"/>
      <c r="H989" s="8"/>
      <c r="I989" s="8"/>
    </row>
    <row r="990">
      <c r="A990" s="8"/>
      <c r="B990" s="8"/>
      <c r="C990" s="8"/>
      <c r="G990" s="8"/>
      <c r="H990" s="8"/>
      <c r="I990" s="8"/>
    </row>
    <row r="991">
      <c r="A991" s="8"/>
      <c r="B991" s="8"/>
      <c r="C991" s="8"/>
      <c r="G991" s="8"/>
      <c r="H991" s="8"/>
      <c r="I991" s="8"/>
    </row>
    <row r="992">
      <c r="A992" s="8"/>
      <c r="B992" s="8"/>
      <c r="C992" s="8"/>
      <c r="G992" s="8"/>
      <c r="H992" s="8"/>
      <c r="I992" s="8"/>
    </row>
    <row r="993">
      <c r="A993" s="8"/>
      <c r="B993" s="8"/>
      <c r="C993" s="8"/>
      <c r="G993" s="8"/>
      <c r="H993" s="8"/>
      <c r="I993" s="8"/>
    </row>
    <row r="994">
      <c r="A994" s="8"/>
      <c r="B994" s="8"/>
      <c r="C994" s="8"/>
      <c r="G994" s="8"/>
      <c r="H994" s="8"/>
      <c r="I994" s="8"/>
    </row>
    <row r="995">
      <c r="A995" s="8"/>
      <c r="B995" s="8"/>
      <c r="C995" s="8"/>
      <c r="G995" s="8"/>
      <c r="H995" s="8"/>
      <c r="I995" s="8"/>
    </row>
    <row r="996">
      <c r="A996" s="8"/>
      <c r="B996" s="8"/>
      <c r="C996" s="8"/>
      <c r="G996" s="8"/>
      <c r="H996" s="8"/>
      <c r="I996" s="8"/>
    </row>
    <row r="997">
      <c r="A997" s="8"/>
      <c r="B997" s="8"/>
      <c r="C997" s="8"/>
      <c r="G997" s="8"/>
      <c r="H997" s="8"/>
      <c r="I997" s="8"/>
    </row>
    <row r="998">
      <c r="A998" s="8"/>
      <c r="B998" s="8"/>
      <c r="C998" s="8"/>
      <c r="G998" s="8"/>
      <c r="H998" s="8"/>
      <c r="I998" s="8"/>
    </row>
    <row r="999">
      <c r="A999" s="8"/>
      <c r="B999" s="8"/>
      <c r="C999" s="8"/>
      <c r="G999" s="8"/>
      <c r="H999" s="8"/>
      <c r="I999" s="8"/>
    </row>
    <row r="1000">
      <c r="A1000" s="8"/>
      <c r="B1000" s="8"/>
      <c r="C1000" s="8"/>
      <c r="G1000" s="8"/>
      <c r="H1000" s="8"/>
      <c r="I1000" s="8"/>
    </row>
    <row r="1001">
      <c r="A1001" s="8"/>
      <c r="B1001" s="8"/>
      <c r="C1001" s="8"/>
      <c r="G1001" s="8"/>
      <c r="H1001" s="8"/>
      <c r="I1001" s="8"/>
    </row>
    <row r="1002">
      <c r="A1002" s="8"/>
      <c r="B1002" s="8"/>
      <c r="C1002" s="8"/>
      <c r="G1002" s="8"/>
      <c r="H1002" s="8"/>
      <c r="I1002" s="8"/>
    </row>
    <row r="1003">
      <c r="A1003" s="8"/>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