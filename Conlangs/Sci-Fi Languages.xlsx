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Kagalarian!$A$1:$C$919</definedName>
  </definedNames>
  <calcPr/>
</workbook>
</file>

<file path=xl/sharedStrings.xml><?xml version="1.0" encoding="utf-8"?>
<sst xmlns="http://schemas.openxmlformats.org/spreadsheetml/2006/main" count="2967" uniqueCount="2942">
  <si>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</si>
  <si>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</si>
  <si>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</si>
  <si>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</si>
  <si>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</si>
  <si>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</si>
  <si>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</si>
  <si>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</si>
  <si>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</si>
  <si>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</si>
  <si>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</si>
  <si>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</si>
  <si>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</si>
  <si>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</si>
  <si>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</si>
  <si>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</si>
  <si>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</si>
  <si>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</si>
  <si>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</si>
  <si>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</si>
  <si>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man</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</si>
  <si>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</si>
  <si>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</si>
  <si>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</si>
  <si>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</si>
  <si>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</si>
  <si>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</si>
  <si>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</si>
  <si>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</si>
  <si>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</si>
  <si>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</si>
  <si>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</si>
  <si>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</si>
  <si>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</si>
  <si>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</si>
  <si>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</si>
  <si>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</si>
  <si>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</si>
  <si>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</si>
  <si>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</si>
  <si>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</si>
  <si>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</si>
  <si>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</si>
  <si>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</si>
  <si>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</si>
  <si>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</si>
  <si>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</si>
  <si>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</si>
  <si>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</si>
  <si>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</si>
  <si>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</si>
  <si>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ahorstniy</t>
  </si>
  <si>
    <t>horny (adjective)</t>
  </si>
  <si>
    <t>ахорстни</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</si>
  <si>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</si>
  <si>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</si>
  <si>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</si>
  <si>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</si>
  <si>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</si>
  <si>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</si>
  <si>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</si>
  <si>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</si>
  <si>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</si>
  <si>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akivat</t>
  </si>
  <si>
    <t>to secure, to make safe</t>
  </si>
  <si>
    <t>аківат</t>
  </si>
  <si>
    <t>question (ariktam)</t>
  </si>
  <si>
    <t>asking for permission/possibility (ariktam na mirn = possible if i take (can i have it))</t>
  </si>
  <si>
    <t>shem rol niy = how you are</t>
  </si>
  <si>
    <t>akivelov</t>
  </si>
  <si>
    <t>security, defense</t>
  </si>
  <si>
    <t>аківєлов</t>
  </si>
  <si>
    <t>person of/occupication (-o)</t>
  </si>
  <si>
    <t>markavo = commander, kagalaro = kagalarian, use "-no" if ends with syllable</t>
  </si>
  <si>
    <t>aleyv</t>
  </si>
  <si>
    <t>early (adjective)</t>
  </si>
  <si>
    <t>алєив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</si>
  <si>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</si>
  <si>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</si>
  <si>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</si>
  <si>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</si>
  <si>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</si>
  <si>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алскєим</t>
  </si>
  <si>
    <t>most (-taes)</t>
  </si>
  <si>
    <t>milntaes = nearest</t>
  </si>
  <si>
    <t>vlun vo yiyn niy = what is this time (what time is it)</t>
  </si>
  <si>
    <t>alun</t>
  </si>
  <si>
    <t>up (adverb, adjective)</t>
  </si>
  <si>
    <t>алун</t>
  </si>
  <si>
    <t>va shaenata niy = it's raining</t>
  </si>
  <si>
    <t>Angliskiy</t>
  </si>
  <si>
    <t>English, english</t>
  </si>
  <si>
    <t>Aнгліски</t>
  </si>
  <si>
    <t>USE THESE!!!</t>
  </si>
  <si>
    <t>vlun mirol = how many</t>
  </si>
  <si>
    <t>anglokish</t>
  </si>
  <si>
    <t>anglothite</t>
  </si>
  <si>
    <t>англокіш</t>
  </si>
  <si>
    <t>negator (nolv)</t>
  </si>
  <si>
    <t>before verb or noun</t>
  </si>
  <si>
    <t>vlo rol niy = who are you</t>
  </si>
  <si>
    <t>arad</t>
  </si>
  <si>
    <t>red</t>
  </si>
  <si>
    <t>арад</t>
  </si>
  <si>
    <t>past tense (-cho)</t>
  </si>
  <si>
    <t>replace -at with -acho | replace -ат with -ачо</t>
  </si>
  <si>
    <t>vrolo rol niy mol = where are you from</t>
  </si>
  <si>
    <t>arik</t>
  </si>
  <si>
    <t>possible</t>
  </si>
  <si>
    <t>арік</t>
  </si>
  <si>
    <t>past participle (-choy)</t>
  </si>
  <si>
    <t>replace -at with -achoy | replace -ат with -ачои</t>
  </si>
  <si>
    <t>ark</t>
  </si>
  <si>
    <t>nasty, disgusting (adjective)</t>
  </si>
  <si>
    <t>арк</t>
  </si>
  <si>
    <t>present tense (-ats)</t>
  </si>
  <si>
    <t>replace -at with -ats | replace -ат with -ац</t>
  </si>
  <si>
    <t>armank</t>
  </si>
  <si>
    <t>armanite</t>
  </si>
  <si>
    <t>арманк</t>
  </si>
  <si>
    <t>let's &lt;verb&gt; (-adem)</t>
  </si>
  <si>
    <t>replace -at with -adem | replace -ат with -адєм</t>
  </si>
  <si>
    <t>aroth</t>
  </si>
  <si>
    <t>aqua, green + blue</t>
  </si>
  <si>
    <t>аротх</t>
  </si>
  <si>
    <t>gerund (-achiyo)</t>
  </si>
  <si>
    <t>replace -at with -achiyo | replace -ат with -ачійо</t>
  </si>
  <si>
    <t>arsenk</t>
  </si>
  <si>
    <t>arsenium</t>
  </si>
  <si>
    <t>арсєнк</t>
  </si>
  <si>
    <t>future tense (volya)</t>
  </si>
  <si>
    <t>before verb</t>
  </si>
  <si>
    <t>artom</t>
  </si>
  <si>
    <t>bullet, bolt of energy/material</t>
  </si>
  <si>
    <t>артом</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</si>
  <si>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</si>
  <si>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</si>
  <si>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</si>
  <si>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</si>
  <si>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avtitiy</t>
  </si>
  <si>
    <t>automatic (adjective)</t>
  </si>
  <si>
    <t>автіти</t>
  </si>
  <si>
    <t>plural (-as)</t>
  </si>
  <si>
    <t>add -as | add -ас</t>
  </si>
  <si>
    <t>azlyeza</t>
  </si>
  <si>
    <t>fame, reputation, renown</t>
  </si>
  <si>
    <t>азлйєза</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</si>
  <si>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</si>
  <si>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</si>
  <si>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azlyeziy</t>
  </si>
  <si>
    <t>popular, famous</t>
  </si>
  <si>
    <t>азлйєзи</t>
  </si>
  <si>
    <t>person of/occupation (-o)</t>
  </si>
  <si>
    <t>add -o</t>
  </si>
  <si>
    <t>babushka</t>
  </si>
  <si>
    <t>grandmother, grandma</t>
  </si>
  <si>
    <t>бабушка</t>
  </si>
  <si>
    <t>ize/ed/ized (-niy)</t>
  </si>
  <si>
    <t>add -niy | add -ни</t>
  </si>
  <si>
    <t>The cold winter is near, a snowstorm will come. Come in my warm house, my friend. Welcome! Come here, sing and dance, eat and drink. That is my plan. We have water, beer, and milk fresh from the cow. Oh, and warm soup!</t>
  </si>
  <si>
    <t>bakov</t>
  </si>
  <si>
    <t>trunk of vehicle</t>
  </si>
  <si>
    <t>баков</t>
  </si>
  <si>
    <t>more (mot)</t>
  </si>
  <si>
    <t>add -mot | add -мот</t>
  </si>
  <si>
    <t>bazavat</t>
  </si>
  <si>
    <t>to zap, to electrocute, to induce with lightning</t>
  </si>
  <si>
    <t>базават</t>
  </si>
  <si>
    <t>most (-teys)</t>
  </si>
  <si>
    <t>add -teys | add -тєис</t>
  </si>
  <si>
    <t>Za krepkiy doynaro borotsyacho kiyna seniy manakonas, seniy knizyo valashem hosyaliy leyn joklun slava.</t>
  </si>
  <si>
    <t>bedro</t>
  </si>
  <si>
    <t>thigh</t>
  </si>
  <si>
    <t>бєдро</t>
  </si>
  <si>
    <t>За крэпкй дойнаро бороцячо кйна сэнй манаконас, сэнй книзё валашэм хосялй лэйн жоклун слава.</t>
  </si>
  <si>
    <t>belekiyvat</t>
  </si>
  <si>
    <t>to marry someone</t>
  </si>
  <si>
    <t>бєлєкиват</t>
  </si>
  <si>
    <t>The strong warrior fought bravely against his foes, wielding his sharp sword with great might.</t>
  </si>
  <si>
    <t>belok</t>
  </si>
  <si>
    <t>rabbit</t>
  </si>
  <si>
    <t>бєлок</t>
  </si>
  <si>
    <t>U</t>
  </si>
  <si>
    <t>/u/</t>
  </si>
  <si>
    <t>Always pronounce as OO</t>
  </si>
  <si>
    <t>Za kiyna lodskaro toyacho skan za drasa sevenak.</t>
  </si>
  <si>
    <t>biva</t>
  </si>
  <si>
    <t>at a place (preposition)</t>
  </si>
  <si>
    <t>біва</t>
  </si>
  <si>
    <t>IY</t>
  </si>
  <si>
    <t>/i/</t>
  </si>
  <si>
    <t>Always pronounce as EE</t>
  </si>
  <si>
    <t>За кйна лодскаро тоячо скан за драса сэвэнак.</t>
  </si>
  <si>
    <t>biy</t>
  </si>
  <si>
    <t>to be; is, am, are, be (past tense: biyt)</t>
  </si>
  <si>
    <t>би</t>
  </si>
  <si>
    <t>AE</t>
  </si>
  <si>
    <t>/ɛɪ/</t>
  </si>
  <si>
    <t>Always pronounce as EI, AY, ae, AE</t>
  </si>
  <si>
    <t>The brave sailor sailed across the wide sea.</t>
  </si>
  <si>
    <t>biyt</t>
  </si>
  <si>
    <t>was, were</t>
  </si>
  <si>
    <t>бит</t>
  </si>
  <si>
    <t>RL</t>
  </si>
  <si>
    <t>/ɾ/</t>
  </si>
  <si>
    <t>"ɾ" (try pronouncing L right after pronouncing R)</t>
  </si>
  <si>
    <t>blavotoyat</t>
  </si>
  <si>
    <t>to behave well</t>
  </si>
  <si>
    <t>блавотойат</t>
  </si>
  <si>
    <t>R</t>
  </si>
  <si>
    <t>/r/</t>
  </si>
  <si>
    <t>trilled</t>
  </si>
  <si>
    <t>bleyshom</t>
  </si>
  <si>
    <t>town</t>
  </si>
  <si>
    <t>блєишом</t>
  </si>
  <si>
    <t>DS</t>
  </si>
  <si>
    <t>/ɖ͡ʐ/</t>
  </si>
  <si>
    <t>blyova</t>
  </si>
  <si>
    <t>hot (adjective)</t>
  </si>
  <si>
    <t>блйова</t>
  </si>
  <si>
    <t>J</t>
  </si>
  <si>
    <t>/ʤ/</t>
  </si>
  <si>
    <t>bolom</t>
  </si>
  <si>
    <t>pain</t>
  </si>
  <si>
    <t>болом</t>
  </si>
  <si>
    <t>boreyv</t>
  </si>
  <si>
    <t>friend</t>
  </si>
  <si>
    <t>борєив</t>
  </si>
  <si>
    <t>boroda</t>
  </si>
  <si>
    <t>beard</t>
  </si>
  <si>
    <t>борода</t>
  </si>
  <si>
    <t>Letter</t>
  </si>
  <si>
    <t>cyrillic</t>
  </si>
  <si>
    <t>Examples</t>
  </si>
  <si>
    <t>borog</t>
  </si>
  <si>
    <t>bitter (adjective)</t>
  </si>
  <si>
    <t>борог</t>
  </si>
  <si>
    <t>A</t>
  </si>
  <si>
    <t>Аа</t>
  </si>
  <si>
    <t>ahak, ахак</t>
  </si>
  <si>
    <t>borots-seyrin</t>
  </si>
  <si>
    <t>spacefighter, jet fighter, starfighter (ship)</t>
  </si>
  <si>
    <t>бороц-сєирін</t>
  </si>
  <si>
    <t>B</t>
  </si>
  <si>
    <t>Бб</t>
  </si>
  <si>
    <t>biy, бй</t>
  </si>
  <si>
    <t>borotsat</t>
  </si>
  <si>
    <t>to fight</t>
  </si>
  <si>
    <t>бороцат</t>
  </si>
  <si>
    <t>CH</t>
  </si>
  <si>
    <t>Чч</t>
  </si>
  <si>
    <t>cherslyosiba, чэрслёсиба</t>
  </si>
  <si>
    <t>borotsorfak</t>
  </si>
  <si>
    <t>martial art</t>
  </si>
  <si>
    <t>бороцорфак</t>
  </si>
  <si>
    <t>D</t>
  </si>
  <si>
    <t>Дд</t>
  </si>
  <si>
    <t>daska, даска</t>
  </si>
  <si>
    <t>bosenk</t>
  </si>
  <si>
    <t>ladder</t>
  </si>
  <si>
    <t>босєнк</t>
  </si>
  <si>
    <t>E</t>
  </si>
  <si>
    <t>Ээ</t>
  </si>
  <si>
    <t>evnen, эвнэн</t>
  </si>
  <si>
    <t>boshat</t>
  </si>
  <si>
    <t>to sneak, to creep, to lurk</t>
  </si>
  <si>
    <t>бошат</t>
  </si>
  <si>
    <t>F</t>
  </si>
  <si>
    <t>Фф</t>
  </si>
  <si>
    <t>femk, фэмк</t>
  </si>
  <si>
    <t>boska</t>
  </si>
  <si>
    <t>boy</t>
  </si>
  <si>
    <t>боска</t>
  </si>
  <si>
    <t>G</t>
  </si>
  <si>
    <t>Гг</t>
  </si>
  <si>
    <t>gost, гост</t>
  </si>
  <si>
    <t>bramat</t>
  </si>
  <si>
    <t>to open</t>
  </si>
  <si>
    <t>брамат</t>
  </si>
  <si>
    <t>H</t>
  </si>
  <si>
    <t>Хх</t>
  </si>
  <si>
    <t>hov, хов</t>
  </si>
  <si>
    <t>braslivat</t>
  </si>
  <si>
    <t>to curse, to put a curse on</t>
  </si>
  <si>
    <t>брасліват</t>
  </si>
  <si>
    <t>I</t>
  </si>
  <si>
    <t>Ии</t>
  </si>
  <si>
    <t>ili, или</t>
  </si>
  <si>
    <t>bratsa</t>
  </si>
  <si>
    <t>bone</t>
  </si>
  <si>
    <t>браца</t>
  </si>
  <si>
    <t>Жж</t>
  </si>
  <si>
    <t>ijor, ижор</t>
  </si>
  <si>
    <t>braykat</t>
  </si>
  <si>
    <t>to control, to manipulate</t>
  </si>
  <si>
    <t>браикат</t>
  </si>
  <si>
    <t>K</t>
  </si>
  <si>
    <t>Кк</t>
  </si>
  <si>
    <t>ketsa, кэтса</t>
  </si>
  <si>
    <t>brega</t>
  </si>
  <si>
    <t>crow, raven</t>
  </si>
  <si>
    <t>брєга</t>
  </si>
  <si>
    <t>KH</t>
  </si>
  <si>
    <t>КШ, кш</t>
  </si>
  <si>
    <t>khnorotal, кшноротао</t>
  </si>
  <si>
    <t>brelen</t>
  </si>
  <si>
    <t>glass</t>
  </si>
  <si>
    <t>брєлєн</t>
  </si>
  <si>
    <t>L</t>
  </si>
  <si>
    <t>Лл</t>
  </si>
  <si>
    <t>losik, лосик</t>
  </si>
  <si>
    <t>breshat</t>
  </si>
  <si>
    <t>to smile, to grin</t>
  </si>
  <si>
    <t>брєшат</t>
  </si>
  <si>
    <t>M</t>
  </si>
  <si>
    <t>Мм</t>
  </si>
  <si>
    <t>miy, мй</t>
  </si>
  <si>
    <t>breyk</t>
  </si>
  <si>
    <t>gate</t>
  </si>
  <si>
    <t>брєик</t>
  </si>
  <si>
    <t>N</t>
  </si>
  <si>
    <t>Нн</t>
  </si>
  <si>
    <t>na, на</t>
  </si>
  <si>
    <t>breytat</t>
  </si>
  <si>
    <t>to pull</t>
  </si>
  <si>
    <t>брєитат</t>
  </si>
  <si>
    <t>O</t>
  </si>
  <si>
    <t>Оо</t>
  </si>
  <si>
    <t>ojan, ойан</t>
  </si>
  <si>
    <t>briy</t>
  </si>
  <si>
    <t>village</t>
  </si>
  <si>
    <t>бри</t>
  </si>
  <si>
    <t>P</t>
  </si>
  <si>
    <t>Пп</t>
  </si>
  <si>
    <t>briyno</t>
  </si>
  <si>
    <t>armor</t>
  </si>
  <si>
    <t>брино</t>
  </si>
  <si>
    <t>Рр</t>
  </si>
  <si>
    <t>brochyek</t>
  </si>
  <si>
    <t>billion</t>
  </si>
  <si>
    <t>брочйєк</t>
  </si>
  <si>
    <t>S</t>
  </si>
  <si>
    <t>Сс</t>
  </si>
  <si>
    <t>brogadaskat</t>
  </si>
  <si>
    <t>to become fermented, to undergo fermentation</t>
  </si>
  <si>
    <t>брогадаскат</t>
  </si>
  <si>
    <t>SH</t>
  </si>
  <si>
    <t>Шш</t>
  </si>
  <si>
    <t>brosyat</t>
  </si>
  <si>
    <t>to help, to assist</t>
  </si>
  <si>
    <t>бросйат</t>
  </si>
  <si>
    <t>T</t>
  </si>
  <si>
    <t>Тт</t>
  </si>
  <si>
    <t>broylev</t>
  </si>
  <si>
    <t>battle</t>
  </si>
  <si>
    <t>броилєв</t>
  </si>
  <si>
    <t>TS</t>
  </si>
  <si>
    <t>Цц</t>
  </si>
  <si>
    <t>broylev-korab</t>
  </si>
  <si>
    <t>destroyer</t>
  </si>
  <si>
    <t>броилєв-кораб</t>
  </si>
  <si>
    <t>Уу</t>
  </si>
  <si>
    <t>budushcheye</t>
  </si>
  <si>
    <t>future</t>
  </si>
  <si>
    <t>будушчєйє</t>
  </si>
  <si>
    <t>V</t>
  </si>
  <si>
    <t>Вв</t>
  </si>
  <si>
    <t>vat, ват</t>
  </si>
  <si>
    <t>bukyat</t>
  </si>
  <si>
    <t>to make</t>
  </si>
  <si>
    <t>букйат</t>
  </si>
  <si>
    <t>Y, IY</t>
  </si>
  <si>
    <t>Йй</t>
  </si>
  <si>
    <t>biy, бй | yiyn, йийн</t>
  </si>
  <si>
    <t>bulava</t>
  </si>
  <si>
    <t>mace, club</t>
  </si>
  <si>
    <t>булава</t>
  </si>
  <si>
    <t>YA</t>
  </si>
  <si>
    <t>Яя</t>
  </si>
  <si>
    <t>dagya, дагя</t>
  </si>
  <si>
    <t>byedniy</t>
  </si>
  <si>
    <t>bad (adjective)</t>
  </si>
  <si>
    <t>бйєдни</t>
  </si>
  <si>
    <t>YE</t>
  </si>
  <si>
    <t>Ее</t>
  </si>
  <si>
    <t>yev, ев</t>
  </si>
  <si>
    <t>byejat</t>
  </si>
  <si>
    <t>to run, to sprint</t>
  </si>
  <si>
    <t>бйєжат</t>
  </si>
  <si>
    <t>YO</t>
  </si>
  <si>
    <t>Ёё</t>
  </si>
  <si>
    <t>byortolm, бётоум</t>
  </si>
  <si>
    <t>byortomat</t>
  </si>
  <si>
    <t>to barricade, to block a pathway</t>
  </si>
  <si>
    <t>бйортомат</t>
  </si>
  <si>
    <t>YU</t>
  </si>
  <si>
    <t>Юю</t>
  </si>
  <si>
    <t>myutor, мютор</t>
  </si>
  <si>
    <t>chaja</t>
  </si>
  <si>
    <t>hour</t>
  </si>
  <si>
    <t>чажа</t>
  </si>
  <si>
    <t>Z</t>
  </si>
  <si>
    <t>Зз</t>
  </si>
  <si>
    <t>zikofal, зикофао</t>
  </si>
  <si>
    <t>chanenk</t>
  </si>
  <si>
    <t>human</t>
  </si>
  <si>
    <t>чанєнк</t>
  </si>
  <si>
    <t>chanenk-rlova</t>
  </si>
  <si>
    <t>mankind, humans</t>
  </si>
  <si>
    <t>чанєнк-рлова</t>
  </si>
  <si>
    <t>chekyuyva</t>
  </si>
  <si>
    <t>chainmail, maille</t>
  </si>
  <si>
    <t>чєкйуива</t>
  </si>
  <si>
    <t>chem</t>
  </si>
  <si>
    <t>than, compared to (conjunction)</t>
  </si>
  <si>
    <t>чєм</t>
  </si>
  <si>
    <t>chers-lyosibat</t>
  </si>
  <si>
    <t>to be really fond of, to crush on, to be infatuated with</t>
  </si>
  <si>
    <t>чєрс-лйосібат</t>
  </si>
  <si>
    <t>chersyat</t>
  </si>
  <si>
    <t>to be fond of</t>
  </si>
  <si>
    <t>чєрсйат</t>
  </si>
  <si>
    <t>cheseviy</t>
  </si>
  <si>
    <t>ink</t>
  </si>
  <si>
    <t>чєсєви</t>
  </si>
  <si>
    <t>chevakat</t>
  </si>
  <si>
    <t>to cleave, to sever, to cut, to chop</t>
  </si>
  <si>
    <t>чєвакат</t>
  </si>
  <si>
    <t>cheybat</t>
  </si>
  <si>
    <t>to cover</t>
  </si>
  <si>
    <t>чєибат</t>
  </si>
  <si>
    <t>chkatoniy</t>
  </si>
  <si>
    <t>thunder, sound of lightning</t>
  </si>
  <si>
    <t>чкатони</t>
  </si>
  <si>
    <t>chlobskat</t>
  </si>
  <si>
    <t>to bore, to be bored</t>
  </si>
  <si>
    <t>члобскат</t>
  </si>
  <si>
    <t>chloskos</t>
  </si>
  <si>
    <t>chlorine</t>
  </si>
  <si>
    <t>члоскос</t>
  </si>
  <si>
    <t>chnuskovat</t>
  </si>
  <si>
    <t>to smell</t>
  </si>
  <si>
    <t>чнусковат</t>
  </si>
  <si>
    <t>chochiy</t>
  </si>
  <si>
    <t>derogatory insult directed to women; slut, thot</t>
  </si>
  <si>
    <t>чочи</t>
  </si>
  <si>
    <t>chozniyka</t>
  </si>
  <si>
    <t>school</t>
  </si>
  <si>
    <t>чозника</t>
  </si>
  <si>
    <t>chyakat</t>
  </si>
  <si>
    <t>to hurry, to quicken</t>
  </si>
  <si>
    <t>чйакат</t>
  </si>
  <si>
    <t>chyakivat</t>
  </si>
  <si>
    <t>to shake</t>
  </si>
  <si>
    <t>чйаківат</t>
  </si>
  <si>
    <t>chyert</t>
  </si>
  <si>
    <t>shit, crap</t>
  </si>
  <si>
    <t>чйєрт</t>
  </si>
  <si>
    <t>dachelm</t>
  </si>
  <si>
    <t>a greeting; hello, hi</t>
  </si>
  <si>
    <t>дачєлм</t>
  </si>
  <si>
    <t>dagla</t>
  </si>
  <si>
    <t>salty (adjective)</t>
  </si>
  <si>
    <t>дагла</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</si>
  <si>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</si>
  <si>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</si>
  <si>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</si>
  <si>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</si>
  <si>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</si>
  <si>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</si>
  <si>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</si>
  <si>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</si>
  <si>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</si>
  <si>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</si>
  <si>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</si>
  <si>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</si>
  <si>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</si>
  <si>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</si>
  <si>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</si>
  <si>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dasha</t>
  </si>
  <si>
    <t>spear</t>
  </si>
  <si>
    <t>даша</t>
  </si>
  <si>
    <t>dasko</t>
  </si>
  <si>
    <t>black</t>
  </si>
  <si>
    <t>даско</t>
  </si>
  <si>
    <t>daskon</t>
  </si>
  <si>
    <t>harbor, docking bay</t>
  </si>
  <si>
    <t>даскон</t>
  </si>
  <si>
    <t>davektsam</t>
  </si>
  <si>
    <t>different (adjective)</t>
  </si>
  <si>
    <t>давєкцам</t>
  </si>
  <si>
    <t>dedushka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</si>
  <si>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</si>
  <si>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</si>
  <si>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</si>
  <si>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</si>
  <si>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</si>
  <si>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</si>
  <si>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</si>
  <si>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</si>
  <si>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</si>
  <si>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</si>
  <si>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</si>
  <si>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</si>
  <si>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</si>
  <si>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</si>
  <si>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</si>
  <si>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</si>
  <si>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</si>
  <si>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</si>
  <si>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</si>
  <si>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</si>
  <si>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</si>
  <si>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</si>
  <si>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</si>
  <si>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dob</t>
  </si>
  <si>
    <t>bar of metal</t>
  </si>
  <si>
    <t>доб</t>
  </si>
  <si>
    <t>dojaposka</t>
  </si>
  <si>
    <t>chart, diagram</t>
  </si>
  <si>
    <t>дожапоска</t>
  </si>
  <si>
    <t>dolgat</t>
  </si>
  <si>
    <t>to move</t>
  </si>
  <si>
    <t>долгат</t>
  </si>
  <si>
    <t>doljen</t>
  </si>
  <si>
    <t>to should</t>
  </si>
  <si>
    <t>должєн</t>
  </si>
  <si>
    <t>dom</t>
  </si>
  <si>
    <t>house, home</t>
  </si>
  <si>
    <t>дом</t>
  </si>
  <si>
    <t>dopoga</t>
  </si>
  <si>
    <t>weather</t>
  </si>
  <si>
    <t>допога</t>
  </si>
  <si>
    <t>doriya</t>
  </si>
  <si>
    <t>north (noun, adjective, adverb)</t>
  </si>
  <si>
    <t>дорійа</t>
  </si>
  <si>
    <t>dorom</t>
  </si>
  <si>
    <t>radio</t>
  </si>
  <si>
    <t>дором</t>
  </si>
  <si>
    <t>doteska</t>
  </si>
  <si>
    <t>father</t>
  </si>
  <si>
    <t>дотєска</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</si>
  <si>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</si>
  <si>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</si>
  <si>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</si>
  <si>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</si>
  <si>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</si>
  <si>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</si>
  <si>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</si>
  <si>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</si>
  <si>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</si>
  <si>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</si>
  <si>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</si>
  <si>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</si>
  <si>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</si>
  <si>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</si>
  <si>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</si>
  <si>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</si>
  <si>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disgusting (adjective)</t>
  </si>
  <si>
    <t>дрікєніг</t>
  </si>
  <si>
    <t>drin</t>
  </si>
  <si>
    <t>left (noun, adjective)</t>
  </si>
  <si>
    <t>дрін</t>
  </si>
  <si>
    <t>drosel</t>
  </si>
  <si>
    <t>reactor, generator</t>
  </si>
  <si>
    <t>дросєл</t>
  </si>
  <si>
    <t>duch</t>
  </si>
  <si>
    <t>word</t>
  </si>
  <si>
    <t>дуч</t>
  </si>
  <si>
    <t>dutska</t>
  </si>
  <si>
    <t>feces, poop</t>
  </si>
  <si>
    <t>дуцка</t>
  </si>
  <si>
    <t>dyatsat</t>
  </si>
  <si>
    <t>to hope</t>
  </si>
  <si>
    <t>дйацат</t>
  </si>
  <si>
    <t>dyonomat</t>
  </si>
  <si>
    <t>to disintegrate, to turn into dust</t>
  </si>
  <si>
    <t>дйономат</t>
  </si>
  <si>
    <t>dyu</t>
  </si>
  <si>
    <t>day, day cycle</t>
  </si>
  <si>
    <t>дйу</t>
  </si>
  <si>
    <t>dyuk</t>
  </si>
  <si>
    <t>poor (adjective)</t>
  </si>
  <si>
    <t>дйук</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</si>
  <si>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</si>
  <si>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</si>
  <si>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</si>
  <si>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</si>
  <si>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</si>
  <si>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</si>
  <si>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</si>
  <si>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</si>
  <si>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</si>
  <si>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</si>
  <si>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</si>
  <si>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</si>
  <si>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</si>
  <si>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</si>
  <si>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</si>
  <si>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</si>
  <si>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</si>
  <si>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</si>
  <si>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</si>
  <si>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</si>
  <si>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</si>
  <si>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emetsyat</t>
  </si>
  <si>
    <t>to like</t>
  </si>
  <si>
    <t>ємєцйат</t>
  </si>
  <si>
    <t>entsat</t>
  </si>
  <si>
    <t>to enter</t>
  </si>
  <si>
    <t>єнцат</t>
  </si>
  <si>
    <t>erat</t>
  </si>
  <si>
    <t>to hurt</t>
  </si>
  <si>
    <t>єрат</t>
  </si>
  <si>
    <t>eron</t>
  </si>
  <si>
    <t>pipe</t>
  </si>
  <si>
    <t>єрон</t>
  </si>
  <si>
    <t>etsa</t>
  </si>
  <si>
    <t>else, other, different (adjective)</t>
  </si>
  <si>
    <t>єца</t>
  </si>
  <si>
    <t>eyrin</t>
  </si>
  <si>
    <t>east (noun, adjective, adverb)</t>
  </si>
  <si>
    <t>єирін</t>
  </si>
  <si>
    <t>eyshtem</t>
  </si>
  <si>
    <t>shield</t>
  </si>
  <si>
    <t>єиштєм</t>
  </si>
  <si>
    <t>farsk</t>
  </si>
  <si>
    <t>patrol</t>
  </si>
  <si>
    <t>фарск</t>
  </si>
  <si>
    <t>femel</t>
  </si>
  <si>
    <t>enchantom, elf</t>
  </si>
  <si>
    <t>фємєл</t>
  </si>
  <si>
    <t>femkyat</t>
  </si>
  <si>
    <t>to close</t>
  </si>
  <si>
    <t>фємкйат</t>
  </si>
  <si>
    <t>feto</t>
  </si>
  <si>
    <t>dry (adjective)</t>
  </si>
  <si>
    <t>фєто</t>
  </si>
  <si>
    <t>fetra</t>
  </si>
  <si>
    <t>pink</t>
  </si>
  <si>
    <t>фєтра</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</si>
  <si>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</si>
  <si>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</si>
  <si>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</si>
  <si>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</si>
  <si>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</si>
  <si>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</si>
  <si>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</si>
  <si>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</si>
  <si>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</si>
  <si>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</si>
  <si>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</si>
  <si>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</si>
  <si>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</si>
  <si>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</si>
  <si>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</si>
  <si>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</si>
  <si>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</si>
  <si>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</si>
  <si>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foden</t>
  </si>
  <si>
    <t>present, now</t>
  </si>
  <si>
    <t>фодєн</t>
  </si>
  <si>
    <t>foglyo</t>
  </si>
  <si>
    <t>finger</t>
  </si>
  <si>
    <t>фоглйо</t>
  </si>
  <si>
    <t>fogor</t>
  </si>
  <si>
    <t>base, root</t>
  </si>
  <si>
    <t>фогор</t>
  </si>
  <si>
    <t>foka</t>
  </si>
  <si>
    <t>false (adjective)</t>
  </si>
  <si>
    <t>фока</t>
  </si>
  <si>
    <t>folat</t>
  </si>
  <si>
    <t>to will (future tense)</t>
  </si>
  <si>
    <t>фолат</t>
  </si>
  <si>
    <t>ford</t>
  </si>
  <si>
    <t>blue</t>
  </si>
  <si>
    <t>форд</t>
  </si>
  <si>
    <t>fornyo</t>
  </si>
  <si>
    <t>forward (adverb)</t>
  </si>
  <si>
    <t>форнйо</t>
  </si>
  <si>
    <t>forokoshyat</t>
  </si>
  <si>
    <t>to warp</t>
  </si>
  <si>
    <t>форокошйат</t>
  </si>
  <si>
    <t>foron</t>
  </si>
  <si>
    <t>front (noun)</t>
  </si>
  <si>
    <t>форон</t>
  </si>
  <si>
    <t>fresenk</t>
  </si>
  <si>
    <t>fresenite</t>
  </si>
  <si>
    <t>фрєсєнк</t>
  </si>
  <si>
    <t>freyn</t>
  </si>
  <si>
    <t>long (adjective)</t>
  </si>
  <si>
    <t>фрєин</t>
  </si>
  <si>
    <t>freyshyat</t>
  </si>
  <si>
    <t>to kick</t>
  </si>
  <si>
    <t>фрєишйат</t>
  </si>
  <si>
    <t>fu</t>
  </si>
  <si>
    <t>ew, disgusted interjection (interjection)</t>
  </si>
  <si>
    <t>фу</t>
  </si>
  <si>
    <t>furkeyl</t>
  </si>
  <si>
    <t>symbol, icon, logo</t>
  </si>
  <si>
    <t>фуркєил</t>
  </si>
  <si>
    <t>furnuska</t>
  </si>
  <si>
    <t>energy, plasma</t>
  </si>
  <si>
    <t>фурнуска</t>
  </si>
  <si>
    <t>fushor</t>
  </si>
  <si>
    <t>oven</t>
  </si>
  <si>
    <t>фушор</t>
  </si>
  <si>
    <t>fusko</t>
  </si>
  <si>
    <t>cheese</t>
  </si>
  <si>
    <t>фуско</t>
  </si>
  <si>
    <t>fyadkaziy</t>
  </si>
  <si>
    <t>bullshit</t>
  </si>
  <si>
    <t>фйадкази</t>
  </si>
  <si>
    <t>fyej</t>
  </si>
  <si>
    <t>fish</t>
  </si>
  <si>
    <t>фйєж</t>
  </si>
  <si>
    <t>fyepyat</t>
  </si>
  <si>
    <t>to receive, to collect, to get, to gain</t>
  </si>
  <si>
    <t>фйєпйат</t>
  </si>
  <si>
    <t>fyerda</t>
  </si>
  <si>
    <t>first (adjective, adverb)</t>
  </si>
  <si>
    <t>фйєрда</t>
  </si>
  <si>
    <t>fyesha</t>
  </si>
  <si>
    <t>peace, quiet, still, calm</t>
  </si>
  <si>
    <t>фйєша</t>
  </si>
  <si>
    <t>fyetsat</t>
  </si>
  <si>
    <t>to throw</t>
  </si>
  <si>
    <t>фйєцат</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</si>
  <si>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</si>
  <si>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</si>
  <si>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</si>
  <si>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</si>
  <si>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</si>
  <si>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</si>
  <si>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</si>
  <si>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</si>
  <si>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</si>
  <si>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</si>
  <si>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</si>
  <si>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</si>
  <si>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</si>
  <si>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</si>
  <si>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</si>
  <si>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</si>
  <si>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</si>
  <si>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</si>
  <si>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</si>
  <si>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</si>
  <si>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</si>
  <si>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</si>
  <si>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</si>
  <si>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</si>
  <si>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geliychat</t>
  </si>
  <si>
    <t>to shout, to yell</t>
  </si>
  <si>
    <t>гєличат</t>
  </si>
  <si>
    <t>gimidacha</t>
  </si>
  <si>
    <t>module, addon, extension</t>
  </si>
  <si>
    <t>гімідача</t>
  </si>
  <si>
    <t>gitara</t>
  </si>
  <si>
    <t>guitar</t>
  </si>
  <si>
    <t>гітара</t>
  </si>
  <si>
    <t>glomat</t>
  </si>
  <si>
    <t>to boil</t>
  </si>
  <si>
    <t>гломат</t>
  </si>
  <si>
    <t>glovyat</t>
  </si>
  <si>
    <t>to glow</t>
  </si>
  <si>
    <t>гловйат</t>
  </si>
  <si>
    <t>godiy</t>
  </si>
  <si>
    <t>sad (adjective)</t>
  </si>
  <si>
    <t>годи</t>
  </si>
  <si>
    <t>gojest</t>
  </si>
  <si>
    <t>us fl oz, fluid ounce</t>
  </si>
  <si>
    <t>гожєст</t>
  </si>
  <si>
    <t>goreym</t>
  </si>
  <si>
    <t>engine</t>
  </si>
  <si>
    <t>горєим</t>
  </si>
  <si>
    <t>gorin</t>
  </si>
  <si>
    <t>month</t>
  </si>
  <si>
    <t>горін</t>
  </si>
  <si>
    <t>gorovolm</t>
  </si>
  <si>
    <t>furnace</t>
  </si>
  <si>
    <t>гороволм</t>
  </si>
  <si>
    <t>gorst</t>
  </si>
  <si>
    <t>liquid</t>
  </si>
  <si>
    <t>горст</t>
  </si>
  <si>
    <t>gos</t>
  </si>
  <si>
    <t>six</t>
  </si>
  <si>
    <t>гос</t>
  </si>
  <si>
    <t>gosin</t>
  </si>
  <si>
    <t>coat</t>
  </si>
  <si>
    <t>госін</t>
  </si>
  <si>
    <t>goskom</t>
  </si>
  <si>
    <t>soup</t>
  </si>
  <si>
    <t>госком</t>
  </si>
  <si>
    <t>gosteyn</t>
  </si>
  <si>
    <t>minute</t>
  </si>
  <si>
    <t>гостєин</t>
  </si>
  <si>
    <t>gotivat</t>
  </si>
  <si>
    <t>to prepare, to ready</t>
  </si>
  <si>
    <t>готіват</t>
  </si>
  <si>
    <t>goveyn</t>
  </si>
  <si>
    <t>hill</t>
  </si>
  <si>
    <t>говєин</t>
  </si>
  <si>
    <t>gralatin</t>
  </si>
  <si>
    <t>graltite</t>
  </si>
  <si>
    <t>гралатін</t>
  </si>
  <si>
    <t>gulva</t>
  </si>
  <si>
    <t>cave</t>
  </si>
  <si>
    <t>гулва</t>
  </si>
  <si>
    <t>gunon</t>
  </si>
  <si>
    <t>linen</t>
  </si>
  <si>
    <t>гунон</t>
  </si>
  <si>
    <t>gurk</t>
  </si>
  <si>
    <t>natural oil</t>
  </si>
  <si>
    <t>гурк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</si>
  <si>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</si>
  <si>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</si>
  <si>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</si>
  <si>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</si>
  <si>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</si>
  <si>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</si>
  <si>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</si>
  <si>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</si>
  <si>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</si>
  <si>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</si>
  <si>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</si>
  <si>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</si>
  <si>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</si>
  <si>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</si>
  <si>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</si>
  <si>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</si>
  <si>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</si>
  <si>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</si>
  <si>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</si>
  <si>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</si>
  <si>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</si>
  <si>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</si>
  <si>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</si>
  <si>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</si>
  <si>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</si>
  <si>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</si>
  <si>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</si>
  <si>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</si>
  <si>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</si>
  <si>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</si>
  <si>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</si>
  <si>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</si>
  <si>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</si>
  <si>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</si>
  <si>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</si>
  <si>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</si>
  <si>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</si>
  <si>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</si>
  <si>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</si>
  <si>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</si>
  <si>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</si>
  <si>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</si>
  <si>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</si>
  <si>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</si>
  <si>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</si>
  <si>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hiynach</t>
  </si>
  <si>
    <t>heart</t>
  </si>
  <si>
    <t>хинач</t>
  </si>
  <si>
    <t>hiystiv</t>
  </si>
  <si>
    <t>explosion</t>
  </si>
  <si>
    <t>хистів</t>
  </si>
  <si>
    <t>hoja</t>
  </si>
  <si>
    <t>pig, boar, hog</t>
  </si>
  <si>
    <t>хожа</t>
  </si>
  <si>
    <t>holova</t>
  </si>
  <si>
    <t>void, space</t>
  </si>
  <si>
    <t>холова</t>
  </si>
  <si>
    <t>holvat</t>
  </si>
  <si>
    <t>to shake, to shudder, to shiver</t>
  </si>
  <si>
    <t>холват</t>
  </si>
  <si>
    <t>honava</t>
  </si>
  <si>
    <t>woman, female</t>
  </si>
  <si>
    <t>хонава</t>
  </si>
  <si>
    <t>horosho</t>
  </si>
  <si>
    <t>safe, secure, okay (adjective)</t>
  </si>
  <si>
    <t>хорошо</t>
  </si>
  <si>
    <t>hoska</t>
  </si>
  <si>
    <t>wall</t>
  </si>
  <si>
    <t>хоска</t>
  </si>
  <si>
    <t>hosom</t>
  </si>
  <si>
    <t>the truth, correct</t>
  </si>
  <si>
    <t>хосом</t>
  </si>
  <si>
    <t>hosyat</t>
  </si>
  <si>
    <t>to hold, to have</t>
  </si>
  <si>
    <t>хосйат</t>
  </si>
  <si>
    <t>hotyat</t>
  </si>
  <si>
    <t>to lift</t>
  </si>
  <si>
    <t>хотйат</t>
  </si>
  <si>
    <t>hovya</t>
  </si>
  <si>
    <t>we, us (accusative)</t>
  </si>
  <si>
    <t>ховйа</t>
  </si>
  <si>
    <t>huva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</si>
  <si>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</si>
  <si>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</si>
  <si>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</si>
  <si>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</si>
  <si>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</si>
  <si>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</si>
  <si>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</si>
  <si>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</si>
  <si>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</si>
  <si>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</si>
  <si>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</si>
  <si>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</si>
  <si>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</si>
  <si>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</si>
  <si>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</si>
  <si>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</si>
  <si>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</si>
  <si>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</si>
  <si>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</si>
  <si>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</si>
  <si>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</si>
  <si>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</si>
  <si>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</si>
  <si>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</si>
  <si>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</si>
  <si>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</si>
  <si>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</si>
  <si>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</si>
  <si>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</si>
  <si>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</si>
  <si>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</si>
  <si>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</si>
  <si>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</si>
  <si>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</si>
  <si>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</si>
  <si>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</si>
  <si>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</si>
  <si>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</si>
  <si>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iteviyan</t>
  </si>
  <si>
    <t>scenery, sight</t>
  </si>
  <si>
    <t>ітєвійан</t>
  </si>
  <si>
    <t>itevya-nosen</t>
  </si>
  <si>
    <t>a guard</t>
  </si>
  <si>
    <t>ітєвйа-носєн</t>
  </si>
  <si>
    <t>itevyat</t>
  </si>
  <si>
    <t>to see, to look</t>
  </si>
  <si>
    <t>ітєвйа</t>
  </si>
  <si>
    <t>izobramej</t>
  </si>
  <si>
    <t>image, picture</t>
  </si>
  <si>
    <t>ізобрамєж</t>
  </si>
  <si>
    <t>jaga</t>
  </si>
  <si>
    <t>sign</t>
  </si>
  <si>
    <t>жага</t>
  </si>
  <si>
    <t>jaken</t>
  </si>
  <si>
    <t>taiga, snowy forest</t>
  </si>
  <si>
    <t>жакєн</t>
  </si>
  <si>
    <t>jakot</t>
  </si>
  <si>
    <t>electricity</t>
  </si>
  <si>
    <t>жакот</t>
  </si>
  <si>
    <t>janholva</t>
  </si>
  <si>
    <t>victory</t>
  </si>
  <si>
    <t>жанхолва</t>
  </si>
  <si>
    <t>janholvat</t>
  </si>
  <si>
    <t>to win</t>
  </si>
  <si>
    <t>жанхолват</t>
  </si>
  <si>
    <t>japrya</t>
  </si>
  <si>
    <t>to hail, to bow</t>
  </si>
  <si>
    <t>жапрйа</t>
  </si>
  <si>
    <t>jatya</t>
  </si>
  <si>
    <t>to listen, to hear</t>
  </si>
  <si>
    <t>жатйа</t>
  </si>
  <si>
    <t>jebat</t>
  </si>
  <si>
    <t>to wait, to stay, to remain</t>
  </si>
  <si>
    <t>жєбат</t>
  </si>
  <si>
    <t>jebya</t>
  </si>
  <si>
    <t>dirt</t>
  </si>
  <si>
    <t>жєбйа</t>
  </si>
  <si>
    <t>jel</t>
  </si>
  <si>
    <t>good (adjective)</t>
  </si>
  <si>
    <t>жєл</t>
  </si>
  <si>
    <t>jelniy utro</t>
  </si>
  <si>
    <t>good morning</t>
  </si>
  <si>
    <t>жєлни утро</t>
  </si>
  <si>
    <t>jelsheveya</t>
  </si>
  <si>
    <t>welcome</t>
  </si>
  <si>
    <t>жєлшєвєйа</t>
  </si>
  <si>
    <t>jeltoya</t>
  </si>
  <si>
    <t>goodbye</t>
  </si>
  <si>
    <t>жєлтойа</t>
  </si>
  <si>
    <t>jenerev</t>
  </si>
  <si>
    <t>money</t>
  </si>
  <si>
    <t>жєнєрєв</t>
  </si>
  <si>
    <t>jenruk</t>
  </si>
  <si>
    <t>truck</t>
  </si>
  <si>
    <t>жєнрук</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</si>
  <si>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</si>
  <si>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</si>
  <si>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</si>
  <si>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</si>
  <si>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</si>
  <si>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</si>
  <si>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</si>
  <si>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</si>
  <si>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</si>
  <si>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</si>
  <si>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</si>
  <si>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</si>
  <si>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</si>
  <si>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</si>
  <si>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жоклун</t>
  </si>
  <si>
    <t>joklun-seyrin</t>
  </si>
  <si>
    <t>battleship, capital ship</t>
  </si>
  <si>
    <t>жоклун-сєирін</t>
  </si>
  <si>
    <t>jolon</t>
  </si>
  <si>
    <t>territory</t>
  </si>
  <si>
    <t>жолон</t>
  </si>
  <si>
    <t>jonosk</t>
  </si>
  <si>
    <t>road, street</t>
  </si>
  <si>
    <t>жоноск</t>
  </si>
  <si>
    <t>jorol</t>
  </si>
  <si>
    <t>wheel</t>
  </si>
  <si>
    <t>жорол</t>
  </si>
  <si>
    <t>jovev</t>
  </si>
  <si>
    <t>head</t>
  </si>
  <si>
    <t>жовєв</t>
  </si>
  <si>
    <t>jovoma</t>
  </si>
  <si>
    <t>south (noun, adjective, adverb)</t>
  </si>
  <si>
    <t>жовома</t>
  </si>
  <si>
    <t>jromlya</t>
  </si>
  <si>
    <t>earth</t>
  </si>
  <si>
    <t>жромлйа</t>
  </si>
  <si>
    <t>juksya</t>
  </si>
  <si>
    <t>to play</t>
  </si>
  <si>
    <t>жуксйа</t>
  </si>
  <si>
    <t>kaf</t>
  </si>
  <si>
    <t>woof, bark (interjection)</t>
  </si>
  <si>
    <t>каф</t>
  </si>
  <si>
    <t>Kagalar</t>
  </si>
  <si>
    <t>Kagalar, kagalar</t>
  </si>
  <si>
    <t>Kагалар</t>
  </si>
  <si>
    <t>Kagalarskiy</t>
  </si>
  <si>
    <t>Kagalarian language, kagalarian language</t>
  </si>
  <si>
    <t>Kагаларски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</si>
  <si>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</si>
  <si>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</si>
  <si>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</si>
  <si>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</si>
  <si>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</si>
  <si>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</si>
  <si>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</si>
  <si>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</si>
  <si>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</si>
  <si>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</si>
  <si>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</si>
  <si>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</si>
  <si>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</si>
  <si>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</si>
  <si>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</si>
  <si>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</si>
  <si>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</si>
  <si>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</si>
  <si>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</si>
  <si>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</si>
  <si>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</si>
  <si>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kelomat</t>
  </si>
  <si>
    <t>to need, to require</t>
  </si>
  <si>
    <t>кєломат</t>
  </si>
  <si>
    <t>keravat</t>
  </si>
  <si>
    <t>to kiss</t>
  </si>
  <si>
    <t>кєрават</t>
  </si>
  <si>
    <t>kerem</t>
  </si>
  <si>
    <t>surcoat, tabard</t>
  </si>
  <si>
    <t>кєрєм</t>
  </si>
  <si>
    <t>ketsya</t>
  </si>
  <si>
    <t>to wait</t>
  </si>
  <si>
    <t>кєцйа</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</si>
  <si>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</si>
  <si>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</si>
  <si>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</si>
  <si>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</si>
  <si>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</si>
  <si>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</si>
  <si>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</si>
  <si>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</si>
  <si>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</si>
  <si>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</si>
  <si>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</si>
  <si>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</si>
  <si>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</si>
  <si>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</si>
  <si>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</si>
  <si>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</si>
  <si>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</si>
  <si>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</si>
  <si>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</si>
  <si>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</si>
  <si>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</si>
  <si>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</si>
  <si>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</si>
  <si>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</si>
  <si>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</si>
  <si>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</si>
  <si>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</si>
  <si>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</si>
  <si>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</si>
  <si>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</si>
  <si>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</si>
  <si>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</si>
  <si>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</si>
  <si>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</si>
  <si>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</si>
  <si>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</si>
  <si>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</si>
  <si>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</si>
  <si>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</si>
  <si>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</si>
  <si>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</si>
  <si>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</si>
  <si>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khnomat</t>
  </si>
  <si>
    <t>to use</t>
  </si>
  <si>
    <t>кшномат</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</si>
  <si>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</si>
  <si>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</si>
  <si>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</si>
  <si>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</si>
  <si>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</si>
  <si>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</si>
  <si>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</si>
  <si>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</si>
  <si>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</si>
  <si>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</si>
  <si>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</si>
  <si>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кшочйа</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</si>
  <si>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</si>
  <si>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</si>
  <si>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</si>
  <si>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</si>
  <si>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</si>
  <si>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</si>
  <si>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</si>
  <si>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</si>
  <si>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</si>
  <si>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</si>
  <si>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</si>
  <si>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</si>
  <si>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</si>
  <si>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</si>
  <si>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</si>
  <si>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</si>
  <si>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</si>
  <si>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</si>
  <si>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</si>
  <si>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</si>
  <si>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</si>
  <si>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</si>
  <si>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</si>
  <si>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</si>
  <si>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</si>
  <si>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</si>
  <si>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</si>
  <si>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</si>
  <si>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</si>
  <si>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</si>
  <si>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</si>
  <si>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</si>
  <si>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</si>
  <si>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</si>
  <si>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</si>
  <si>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</si>
  <si>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</si>
  <si>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</si>
  <si>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</si>
  <si>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</si>
  <si>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</si>
  <si>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</si>
  <si>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</si>
  <si>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</si>
  <si>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</si>
  <si>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</si>
  <si>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</si>
  <si>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</si>
  <si>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</si>
  <si>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</si>
  <si>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</si>
  <si>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</si>
  <si>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</si>
  <si>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</si>
  <si>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</si>
  <si>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</si>
  <si>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</si>
  <si>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</si>
  <si>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</si>
  <si>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</si>
  <si>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</si>
  <si>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</si>
  <si>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</si>
  <si>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</si>
  <si>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</si>
  <si>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</si>
  <si>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</si>
  <si>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</si>
  <si>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</si>
  <si>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</si>
  <si>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</si>
  <si>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</si>
  <si>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koloshem</t>
  </si>
  <si>
    <t>lightning</t>
  </si>
  <si>
    <t>колошєм</t>
  </si>
  <si>
    <t>komiy</t>
  </si>
  <si>
    <t>hand radio, walkie talkie, handheld transceiver</t>
  </si>
  <si>
    <t>коми</t>
  </si>
  <si>
    <t>komnata</t>
  </si>
  <si>
    <t>room, chamber, lodgings, dwelling, apartment</t>
  </si>
  <si>
    <t>комната</t>
  </si>
  <si>
    <t>kopat</t>
  </si>
  <si>
    <t>to buy</t>
  </si>
  <si>
    <t>копат</t>
  </si>
  <si>
    <t>korab</t>
  </si>
  <si>
    <t>ship, vessel</t>
  </si>
  <si>
    <t>кораб</t>
  </si>
  <si>
    <t>korin</t>
  </si>
  <si>
    <t>корін</t>
  </si>
  <si>
    <t>korobka</t>
  </si>
  <si>
    <t>chest, box, kist</t>
  </si>
  <si>
    <t>коробка</t>
  </si>
  <si>
    <t>korust</t>
  </si>
  <si>
    <t>paper</t>
  </si>
  <si>
    <t>коруст</t>
  </si>
  <si>
    <t>korustiyn</t>
  </si>
  <si>
    <t>document</t>
  </si>
  <si>
    <t>корустин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</si>
  <si>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</si>
  <si>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</si>
  <si>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</si>
  <si>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</si>
  <si>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</si>
  <si>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</si>
  <si>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</si>
  <si>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</si>
  <si>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</si>
  <si>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</si>
  <si>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</si>
  <si>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</si>
  <si>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</si>
  <si>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</si>
  <si>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</si>
  <si>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</si>
  <si>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</si>
  <si>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</si>
  <si>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</si>
  <si>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</si>
  <si>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</si>
  <si>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</si>
  <si>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</si>
  <si>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</si>
  <si>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</si>
  <si>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</si>
  <si>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</si>
  <si>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</si>
  <si>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</si>
  <si>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</si>
  <si>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</si>
  <si>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</si>
  <si>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</si>
  <si>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</si>
  <si>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</si>
  <si>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</si>
  <si>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kvartira</t>
  </si>
  <si>
    <t>an apartment</t>
  </si>
  <si>
    <t>квартіра</t>
  </si>
  <si>
    <t>lakdat</t>
  </si>
  <si>
    <t>to connect, to link together, to attach</t>
  </si>
  <si>
    <t>лакдат</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</si>
  <si>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</si>
  <si>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</si>
  <si>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</si>
  <si>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</si>
  <si>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</si>
  <si>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</si>
  <si>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</si>
  <si>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</si>
  <si>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</si>
  <si>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</si>
  <si>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</si>
  <si>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</si>
  <si>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</si>
  <si>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</si>
  <si>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</si>
  <si>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</si>
  <si>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</si>
  <si>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</si>
  <si>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</si>
  <si>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</si>
  <si>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</si>
  <si>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lenharsav</t>
  </si>
  <si>
    <t>fortification</t>
  </si>
  <si>
    <t>лєнхарсав</t>
  </si>
  <si>
    <t>lentyat</t>
  </si>
  <si>
    <t>to follow, to go with</t>
  </si>
  <si>
    <t>лєнтйат</t>
  </si>
  <si>
    <t>lerov</t>
  </si>
  <si>
    <t>empty, nothing there (adjective)</t>
  </si>
  <si>
    <t>лєров</t>
  </si>
  <si>
    <t>lesjo</t>
  </si>
  <si>
    <t>soft (adjective, not for verbs)</t>
  </si>
  <si>
    <t>лєсжо</t>
  </si>
  <si>
    <t>lesnoy</t>
  </si>
  <si>
    <t>forest</t>
  </si>
  <si>
    <t>лєснои</t>
  </si>
  <si>
    <t>let</t>
  </si>
  <si>
    <t>just, only, merely (adjective, adverb)</t>
  </si>
  <si>
    <t>лєт</t>
  </si>
  <si>
    <t>letsya</t>
  </si>
  <si>
    <t>to tell</t>
  </si>
  <si>
    <t>лєцйа</t>
  </si>
  <si>
    <t>leyn</t>
  </si>
  <si>
    <t>with (preposition)</t>
  </si>
  <si>
    <t>лєин</t>
  </si>
  <si>
    <t>lin</t>
  </si>
  <si>
    <t>rice</t>
  </si>
  <si>
    <t>лін</t>
  </si>
  <si>
    <t>linikav</t>
  </si>
  <si>
    <t>shop, store</t>
  </si>
  <si>
    <t>лінікав</t>
  </si>
  <si>
    <t>linya</t>
  </si>
  <si>
    <t>line</t>
  </si>
  <si>
    <t>лінйа</t>
  </si>
  <si>
    <t>lis</t>
  </si>
  <si>
    <t>small (adjective)</t>
  </si>
  <si>
    <t>ліс</t>
  </si>
  <si>
    <t>liynkum</t>
  </si>
  <si>
    <t>portal, wormhole</t>
  </si>
  <si>
    <t>линкум</t>
  </si>
  <si>
    <t>lodska</t>
  </si>
  <si>
    <t>boat, rowboat, dinghy</t>
  </si>
  <si>
    <t>лодска</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</si>
  <si>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</si>
  <si>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</si>
  <si>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</si>
  <si>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</si>
  <si>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</si>
  <si>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</si>
  <si>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</si>
  <si>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</si>
  <si>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</si>
  <si>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</si>
  <si>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</si>
  <si>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</si>
  <si>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</si>
  <si>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</si>
  <si>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</si>
  <si>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</si>
  <si>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</si>
  <si>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</si>
  <si>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</si>
  <si>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</si>
  <si>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</si>
  <si>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</si>
  <si>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</si>
  <si>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</si>
  <si>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</si>
  <si>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</si>
  <si>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</si>
  <si>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</si>
  <si>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</si>
  <si>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лорнйо</t>
  </si>
  <si>
    <t>lorov</t>
  </si>
  <si>
    <t>land, ground</t>
  </si>
  <si>
    <t>лоров</t>
  </si>
  <si>
    <t>losik</t>
  </si>
  <si>
    <t>station, outpost</t>
  </si>
  <si>
    <t>лосік</t>
  </si>
  <si>
    <t>lovo</t>
  </si>
  <si>
    <t>operator, driver, crewmember</t>
  </si>
  <si>
    <t>лово</t>
  </si>
  <si>
    <t>loykat</t>
  </si>
  <si>
    <t>to drink</t>
  </si>
  <si>
    <t>лоикат</t>
  </si>
  <si>
    <t>lujayka</t>
  </si>
  <si>
    <t>lawn, garden</t>
  </si>
  <si>
    <t>лужаика</t>
  </si>
  <si>
    <t>lumenekiyo</t>
  </si>
  <si>
    <t>knowledge, information</t>
  </si>
  <si>
    <t>лумєнєкийо</t>
  </si>
  <si>
    <t>lumetsya</t>
  </si>
  <si>
    <t>to learn</t>
  </si>
  <si>
    <t>лумєцйа</t>
  </si>
  <si>
    <t>lumka</t>
  </si>
  <si>
    <t>medicine</t>
  </si>
  <si>
    <t>лумка</t>
  </si>
  <si>
    <t>lunst</t>
  </si>
  <si>
    <t>garbage, trash</t>
  </si>
  <si>
    <t>лунст</t>
  </si>
  <si>
    <t>lutsya</t>
  </si>
  <si>
    <t>to teach</t>
  </si>
  <si>
    <t>луцйа</t>
  </si>
  <si>
    <t>lyakasin</t>
  </si>
  <si>
    <t>language</t>
  </si>
  <si>
    <t>лйакасін</t>
  </si>
  <si>
    <t>lyan</t>
  </si>
  <si>
    <t>bright, shining (adjective)</t>
  </si>
  <si>
    <t>лйан</t>
  </si>
  <si>
    <t>lyemanyat</t>
  </si>
  <si>
    <t>to build</t>
  </si>
  <si>
    <t>лйєманйат</t>
  </si>
  <si>
    <t>lyoj</t>
  </si>
  <si>
    <t>0.1 fluid ounces, 0.1 fl oz</t>
  </si>
  <si>
    <t>лйож</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</si>
  <si>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</si>
  <si>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</si>
  <si>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</si>
  <si>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</si>
  <si>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</si>
  <si>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</si>
  <si>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</si>
  <si>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</si>
  <si>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</si>
  <si>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</si>
  <si>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</si>
  <si>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</si>
  <si>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</si>
  <si>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</si>
  <si>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</si>
  <si>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</si>
  <si>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</si>
  <si>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</si>
  <si>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</si>
  <si>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</si>
  <si>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</si>
  <si>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</si>
  <si>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</si>
  <si>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</si>
  <si>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</si>
  <si>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</si>
  <si>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</si>
  <si>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</si>
  <si>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</si>
  <si>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</si>
  <si>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</si>
  <si>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</si>
  <si>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</si>
  <si>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</si>
  <si>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</si>
  <si>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</si>
  <si>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</si>
  <si>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</si>
  <si>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</si>
  <si>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</si>
  <si>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</si>
  <si>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</si>
  <si>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</si>
  <si>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</si>
  <si>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</si>
  <si>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</si>
  <si>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</si>
  <si>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</si>
  <si>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</si>
  <si>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</si>
  <si>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</si>
  <si>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</si>
  <si>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</si>
  <si>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</si>
  <si>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</si>
  <si>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</si>
  <si>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</si>
  <si>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</si>
  <si>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</si>
  <si>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</si>
  <si>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</si>
  <si>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</si>
  <si>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</si>
  <si>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</si>
  <si>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</si>
  <si>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</si>
  <si>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</si>
  <si>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</si>
  <si>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</si>
  <si>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meya</t>
  </si>
  <si>
    <t>i, me (accusative)</t>
  </si>
  <si>
    <t>мєйа</t>
  </si>
  <si>
    <t>meyrn</t>
  </si>
  <si>
    <t>weapon</t>
  </si>
  <si>
    <t>мєирн</t>
  </si>
  <si>
    <t>mikya</t>
  </si>
  <si>
    <t>to can, to able</t>
  </si>
  <si>
    <t>мікйа</t>
  </si>
  <si>
    <t>miln</t>
  </si>
  <si>
    <t>close, near (adjective, adverb)</t>
  </si>
  <si>
    <t>мілн</t>
  </si>
  <si>
    <t>miln narin</t>
  </si>
  <si>
    <t>short/close range</t>
  </si>
  <si>
    <t>мілн нарін</t>
  </si>
  <si>
    <t>minim</t>
  </si>
  <si>
    <t>lamp</t>
  </si>
  <si>
    <t>мінім</t>
  </si>
  <si>
    <t>mishanya</t>
  </si>
  <si>
    <t>to appear</t>
  </si>
  <si>
    <t>мішанйа</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</si>
  <si>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</si>
  <si>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</si>
  <si>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</si>
  <si>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</si>
  <si>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</si>
  <si>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</si>
  <si>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</si>
  <si>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</si>
  <si>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</si>
  <si>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</si>
  <si>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</si>
  <si>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</si>
  <si>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</si>
  <si>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</si>
  <si>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</si>
  <si>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</si>
  <si>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</si>
  <si>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</si>
  <si>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</si>
  <si>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</si>
  <si>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</si>
  <si>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mlyetso</t>
  </si>
  <si>
    <t>might, maybe</t>
  </si>
  <si>
    <t>млйєцо</t>
  </si>
  <si>
    <t>mojya</t>
  </si>
  <si>
    <t>to carry</t>
  </si>
  <si>
    <t>можйа</t>
  </si>
  <si>
    <t>mol</t>
  </si>
  <si>
    <t>from (preposition)</t>
  </si>
  <si>
    <t>мол</t>
  </si>
  <si>
    <t>molosin</t>
  </si>
  <si>
    <t>cow, cattle</t>
  </si>
  <si>
    <t>молосін</t>
  </si>
  <si>
    <t>molumba</t>
  </si>
  <si>
    <t>nanopus (monster)</t>
  </si>
  <si>
    <t>молумба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</si>
  <si>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</si>
  <si>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</si>
  <si>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</si>
  <si>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</si>
  <si>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</si>
  <si>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</si>
  <si>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</si>
  <si>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</si>
  <si>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</si>
  <si>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</si>
  <si>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</si>
  <si>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</si>
  <si>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</si>
  <si>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</si>
  <si>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</si>
  <si>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</si>
  <si>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</si>
  <si>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</si>
  <si>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motun</t>
  </si>
  <si>
    <t>power, strength</t>
  </si>
  <si>
    <t>мотун</t>
  </si>
  <si>
    <t>mralyat</t>
  </si>
  <si>
    <t>to give, to grant</t>
  </si>
  <si>
    <t>мралйат</t>
  </si>
  <si>
    <t>mrel</t>
  </si>
  <si>
    <t>energy</t>
  </si>
  <si>
    <t>мрєл</t>
  </si>
  <si>
    <t>mreynat</t>
  </si>
  <si>
    <t>to burn</t>
  </si>
  <si>
    <t>мрєинат</t>
  </si>
  <si>
    <t>mrokek</t>
  </si>
  <si>
    <t>мрокєк</t>
  </si>
  <si>
    <t>mroken</t>
  </si>
  <si>
    <t>мрокєн</t>
  </si>
  <si>
    <t>mronat</t>
  </si>
  <si>
    <t>to cry</t>
  </si>
  <si>
    <t>мронат</t>
  </si>
  <si>
    <t>mrotiys</t>
  </si>
  <si>
    <t>comfort</t>
  </si>
  <si>
    <t>мротис</t>
  </si>
  <si>
    <t>mrotiysniy</t>
  </si>
  <si>
    <t>comfortable (adjective)</t>
  </si>
  <si>
    <t>мротисни</t>
  </si>
  <si>
    <t>mut</t>
  </si>
  <si>
    <t>city</t>
  </si>
  <si>
    <t>мут</t>
  </si>
  <si>
    <t>muva</t>
  </si>
  <si>
    <t>leg</t>
  </si>
  <si>
    <t>мува</t>
  </si>
  <si>
    <t>myach</t>
  </si>
  <si>
    <t>ball, sphere</t>
  </si>
  <si>
    <t>мйач</t>
  </si>
  <si>
    <t>myano</t>
  </si>
  <si>
    <t>very, really (adjective)</t>
  </si>
  <si>
    <t>мйано</t>
  </si>
  <si>
    <t>myau</t>
  </si>
  <si>
    <t>meow (noun, interjection)</t>
  </si>
  <si>
    <t>мйау</t>
  </si>
  <si>
    <t>myaukat</t>
  </si>
  <si>
    <t>to meow</t>
  </si>
  <si>
    <t>мйаукат</t>
  </si>
  <si>
    <t>myerost</t>
  </si>
  <si>
    <t>common (adjective)</t>
  </si>
  <si>
    <t>мйєрост</t>
  </si>
  <si>
    <t>myeska</t>
  </si>
  <si>
    <t>girl</t>
  </si>
  <si>
    <t>мйєска</t>
  </si>
  <si>
    <t>myuto</t>
  </si>
  <si>
    <t>shy, timid</t>
  </si>
  <si>
    <t>мйуто</t>
  </si>
  <si>
    <t>na</t>
  </si>
  <si>
    <t>i, me, my (nominative)</t>
  </si>
  <si>
    <t>на</t>
  </si>
  <si>
    <t>nacheshnat</t>
  </si>
  <si>
    <t>to protect, to defend</t>
  </si>
  <si>
    <t>начєшнат</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</si>
  <si>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</si>
  <si>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</si>
  <si>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</si>
  <si>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</si>
  <si>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</si>
  <si>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</si>
  <si>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</si>
  <si>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</si>
  <si>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</si>
  <si>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</si>
  <si>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</si>
  <si>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</si>
  <si>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</si>
  <si>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</si>
  <si>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</si>
  <si>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</si>
  <si>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</si>
  <si>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</si>
  <si>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</si>
  <si>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</si>
  <si>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</si>
  <si>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</si>
  <si>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</si>
  <si>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</si>
  <si>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</si>
  <si>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</si>
  <si>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</si>
  <si>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</si>
  <si>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</si>
  <si>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</si>
  <si>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</si>
  <si>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</si>
  <si>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</si>
  <si>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</si>
  <si>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</si>
  <si>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</si>
  <si>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</si>
  <si>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</si>
  <si>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</si>
  <si>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</si>
  <si>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</si>
  <si>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</si>
  <si>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</si>
  <si>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</si>
  <si>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</si>
  <si>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</si>
  <si>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</si>
  <si>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</si>
  <si>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</si>
  <si>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</si>
  <si>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</si>
  <si>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</si>
  <si>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</si>
  <si>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</si>
  <si>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</si>
  <si>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</si>
  <si>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</si>
  <si>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</si>
  <si>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</si>
  <si>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</si>
  <si>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</si>
  <si>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</si>
  <si>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</si>
  <si>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</si>
  <si>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</si>
  <si>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</si>
  <si>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</si>
  <si>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</si>
  <si>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</si>
  <si>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</si>
  <si>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</si>
  <si>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</si>
  <si>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</si>
  <si>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</si>
  <si>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</si>
  <si>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</si>
  <si>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</si>
  <si>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</si>
  <si>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</si>
  <si>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</si>
  <si>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</si>
  <si>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</si>
  <si>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</si>
  <si>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</si>
  <si>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</si>
  <si>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</si>
  <si>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</si>
  <si>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nolv</t>
  </si>
  <si>
    <t>not</t>
  </si>
  <si>
    <t>нолв</t>
  </si>
  <si>
    <t>nonula</t>
  </si>
  <si>
    <t>beautiful, pretty (adjective)</t>
  </si>
  <si>
    <t>нонула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</si>
  <si>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</si>
  <si>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</si>
  <si>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</si>
  <si>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</si>
  <si>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</si>
  <si>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</si>
  <si>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</si>
  <si>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</si>
  <si>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</si>
  <si>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</si>
  <si>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</si>
  <si>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</si>
  <si>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</si>
  <si>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</si>
  <si>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</si>
  <si>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nyak</t>
  </si>
  <si>
    <t>a cuss word</t>
  </si>
  <si>
    <t>нйак</t>
  </si>
  <si>
    <t>nyakat</t>
  </si>
  <si>
    <t>to hate</t>
  </si>
  <si>
    <t>нйакат</t>
  </si>
  <si>
    <t>nyetim</t>
  </si>
  <si>
    <t>desolate, empty, dry (adjective)</t>
  </si>
  <si>
    <t>нйєтім</t>
  </si>
  <si>
    <t>nyetoschat</t>
  </si>
  <si>
    <t>to support</t>
  </si>
  <si>
    <t>нйєтосчат</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</si>
  <si>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</si>
  <si>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</si>
  <si>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</si>
  <si>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</si>
  <si>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</si>
  <si>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</si>
  <si>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</si>
  <si>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</si>
  <si>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</si>
  <si>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</si>
  <si>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</si>
  <si>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</si>
  <si>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</si>
  <si>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</si>
  <si>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</si>
  <si>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obramya</t>
  </si>
  <si>
    <t>to hug</t>
  </si>
  <si>
    <t>обрамйа</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</si>
  <si>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</si>
  <si>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</si>
  <si>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</si>
  <si>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</si>
  <si>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</si>
  <si>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</si>
  <si>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</si>
  <si>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</si>
  <si>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</si>
  <si>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</si>
  <si>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</si>
  <si>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</si>
  <si>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</si>
  <si>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</si>
  <si>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</si>
  <si>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</si>
  <si>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</si>
  <si>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</si>
  <si>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</si>
  <si>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</si>
  <si>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</si>
  <si>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</si>
  <si>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</si>
  <si>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</si>
  <si>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</si>
  <si>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</si>
  <si>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</si>
  <si>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</si>
  <si>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</si>
  <si>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</si>
  <si>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</si>
  <si>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</si>
  <si>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</si>
  <si>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</si>
  <si>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</si>
  <si>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</si>
  <si>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</si>
  <si>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</si>
  <si>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</si>
  <si>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</si>
  <si>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</si>
  <si>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</si>
  <si>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</si>
  <si>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</si>
  <si>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</si>
  <si>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</si>
  <si>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</si>
  <si>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</si>
  <si>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</si>
  <si>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</si>
  <si>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</si>
  <si>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oretchert</t>
  </si>
  <si>
    <t>assignment, essay, article</t>
  </si>
  <si>
    <t>орєтчєрт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</si>
  <si>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</si>
  <si>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</si>
  <si>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</si>
  <si>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</si>
  <si>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</si>
  <si>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</si>
  <si>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</si>
  <si>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</si>
  <si>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</si>
  <si>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</si>
  <si>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</si>
  <si>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</si>
  <si>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</si>
  <si>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</si>
  <si>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</si>
  <si>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</si>
  <si>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</si>
  <si>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</si>
  <si>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</si>
  <si>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</si>
  <si>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</si>
  <si>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</si>
  <si>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</si>
  <si>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</si>
  <si>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
  </si>
  <si>
    <t>to remove, to take off</t>
  </si>
  <si>
    <t>отготідісйа</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</si>
  <si>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</si>
  <si>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</si>
  <si>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</si>
  <si>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</si>
  <si>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</si>
  <si>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</si>
  <si>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</si>
  <si>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</si>
  <si>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</si>
  <si>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</si>
  <si>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</si>
  <si>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</si>
  <si>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</si>
  <si>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</si>
  <si>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</si>
  <si>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pakosel</t>
  </si>
  <si>
    <t>appearance, looks</t>
  </si>
  <si>
    <t>пакосєл</t>
  </si>
  <si>
    <t>pakyab</t>
  </si>
  <si>
    <t>bucket, can</t>
  </si>
  <si>
    <t>пакйаб</t>
  </si>
  <si>
    <t>paskenteyl</t>
  </si>
  <si>
    <t>cylinder</t>
  </si>
  <si>
    <t>паскєнтєил</t>
  </si>
  <si>
    <t>pastakriy</t>
  </si>
  <si>
    <t>baldric, sling</t>
  </si>
  <si>
    <t>пастакри</t>
  </si>
  <si>
    <t>pel</t>
  </si>
  <si>
    <t>a gram, 1 gram</t>
  </si>
  <si>
    <t>пєл</t>
  </si>
  <si>
    <t>pelik</t>
  </si>
  <si>
    <t>emotion, expression</t>
  </si>
  <si>
    <t>пєлік</t>
  </si>
  <si>
    <t>pelitmashka</t>
  </si>
  <si>
    <t>scanner</t>
  </si>
  <si>
    <t>пєлітмашка</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</si>
  <si>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</si>
  <si>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</si>
  <si>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</si>
  <si>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</si>
  <si>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</si>
  <si>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</si>
  <si>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</si>
  <si>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</si>
  <si>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</si>
  <si>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</si>
  <si>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</si>
  <si>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</si>
  <si>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</si>
  <si>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</si>
  <si>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</si>
  <si>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pidya</t>
  </si>
  <si>
    <t>to let, to allow, to permit</t>
  </si>
  <si>
    <t>підйа</t>
  </si>
  <si>
    <t>plachatyu</t>
  </si>
  <si>
    <t>century, 100 years</t>
  </si>
  <si>
    <t>плачатйу</t>
  </si>
  <si>
    <t>pliznat</t>
  </si>
  <si>
    <t>to spark, to stir</t>
  </si>
  <si>
    <t>плізнат</t>
  </si>
  <si>
    <t>plomeysel</t>
  </si>
  <si>
    <t>necklace, amulet</t>
  </si>
  <si>
    <t>пломєисєл</t>
  </si>
  <si>
    <t>plumatyat</t>
  </si>
  <si>
    <t>to fall</t>
  </si>
  <si>
    <t>плуматйат</t>
  </si>
  <si>
    <t>plyenk</t>
  </si>
  <si>
    <t>makeup, make-up, beauty products</t>
  </si>
  <si>
    <t>плйєнк</t>
  </si>
  <si>
    <t>pnojya</t>
  </si>
  <si>
    <t>to read</t>
  </si>
  <si>
    <t>пножйа</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</si>
  <si>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</si>
  <si>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</si>
  <si>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</si>
  <si>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</si>
  <si>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</si>
  <si>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</si>
  <si>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</si>
  <si>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</si>
  <si>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</si>
  <si>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</si>
  <si>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</si>
  <si>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</si>
  <si>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</si>
  <si>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</si>
  <si>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</si>
  <si>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pojaluysta</t>
  </si>
  <si>
    <t>please (interjection)</t>
  </si>
  <si>
    <t>пожалуиста</t>
  </si>
  <si>
    <t>pojamits</t>
  </si>
  <si>
    <t>chemise, frock, undergarment</t>
  </si>
  <si>
    <t>пожаміц</t>
  </si>
  <si>
    <t>poji</t>
  </si>
  <si>
    <t>cute, sweet, pretty (adjective)</t>
  </si>
  <si>
    <t>пожі</t>
  </si>
  <si>
    <t>pojno</t>
  </si>
  <si>
    <t>late (noun, adjective)</t>
  </si>
  <si>
    <t>пожно</t>
  </si>
  <si>
    <t>pokcha</t>
  </si>
  <si>
    <t>rough, hard (adverb)</t>
  </si>
  <si>
    <t>покча</t>
  </si>
  <si>
    <t>poldat</t>
  </si>
  <si>
    <t>to scan</t>
  </si>
  <si>
    <t>полдат</t>
  </si>
  <si>
    <t>poldos</t>
  </si>
  <si>
    <t>library</t>
  </si>
  <si>
    <t>полдос</t>
  </si>
  <si>
    <t>poletya</t>
  </si>
  <si>
    <t>to enjoy, to take pleasure in</t>
  </si>
  <si>
    <t>полєтйа</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</si>
  <si>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</si>
  <si>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</si>
  <si>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</si>
  <si>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</si>
  <si>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</si>
  <si>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</si>
  <si>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</si>
  <si>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</si>
  <si>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</si>
  <si>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</si>
  <si>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</si>
  <si>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</si>
  <si>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</si>
  <si>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</si>
  <si>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</si>
  <si>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</si>
  <si>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</si>
  <si>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</si>
  <si>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</si>
  <si>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</si>
  <si>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</si>
  <si>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</si>
  <si>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</si>
  <si>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</si>
  <si>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</si>
  <si>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</si>
  <si>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</si>
  <si>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</si>
  <si>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</si>
  <si>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</si>
  <si>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prichat</t>
  </si>
  <si>
    <t>to scream</t>
  </si>
  <si>
    <t>прічат</t>
  </si>
  <si>
    <t>prikleshacho</t>
  </si>
  <si>
    <t>stuck (adjective)</t>
  </si>
  <si>
    <t>пріклєшачо</t>
  </si>
  <si>
    <t>prikleshat</t>
  </si>
  <si>
    <t>to stick onto</t>
  </si>
  <si>
    <t>пріклєшат</t>
  </si>
  <si>
    <t>prikodya</t>
  </si>
  <si>
    <t>to come</t>
  </si>
  <si>
    <t>прікодйа</t>
  </si>
  <si>
    <t>priygat</t>
  </si>
  <si>
    <t>to jump</t>
  </si>
  <si>
    <t>пригат</t>
  </si>
  <si>
    <t>pro</t>
  </si>
  <si>
    <t>but, yet, still (conjunction)</t>
  </si>
  <si>
    <t>про</t>
  </si>
  <si>
    <t>provikat</t>
  </si>
  <si>
    <t>to punch</t>
  </si>
  <si>
    <t>провікат</t>
  </si>
  <si>
    <t>psakye</t>
  </si>
  <si>
    <t>gun, rifle, pistol</t>
  </si>
  <si>
    <t>псакйє</t>
  </si>
  <si>
    <t>pugya</t>
  </si>
  <si>
    <t>to scare</t>
  </si>
  <si>
    <t>пугйа</t>
  </si>
  <si>
    <t>pyeklo</t>
  </si>
  <si>
    <t>chair</t>
  </si>
  <si>
    <t>пйєкло</t>
  </si>
  <si>
    <t>pyetsyo</t>
  </si>
  <si>
    <t>a pet, a domesticated animal</t>
  </si>
  <si>
    <t>пйєцйо</t>
  </si>
  <si>
    <t>pyotsa</t>
  </si>
  <si>
    <t>hip</t>
  </si>
  <si>
    <t>пйоца</t>
  </si>
  <si>
    <t>pyotski</t>
  </si>
  <si>
    <t>buttocks</t>
  </si>
  <si>
    <t>пйоцкі</t>
  </si>
  <si>
    <t>rabota</t>
  </si>
  <si>
    <t>job, occupication, work</t>
  </si>
  <si>
    <t>работа</t>
  </si>
  <si>
    <t>rabotat</t>
  </si>
  <si>
    <t>to work (with labor), to run, to execute</t>
  </si>
  <si>
    <t>работат</t>
  </si>
  <si>
    <t>ralinefeyv</t>
  </si>
  <si>
    <t>hospital</t>
  </si>
  <si>
    <t>ралінєфєив</t>
  </si>
  <si>
    <t>ranat</t>
  </si>
  <si>
    <t>to injure</t>
  </si>
  <si>
    <t>ранат</t>
  </si>
  <si>
    <t>rarl</t>
  </si>
  <si>
    <t>year</t>
  </si>
  <si>
    <t>рарл</t>
  </si>
  <si>
    <t>ratsonachiy</t>
  </si>
  <si>
    <t>real (adjective)</t>
  </si>
  <si>
    <t>рацоначи</t>
  </si>
  <si>
    <t>recha</t>
  </si>
  <si>
    <t>arm</t>
  </si>
  <si>
    <t>рєча</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</si>
  <si>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</si>
  <si>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</si>
  <si>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</si>
  <si>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</si>
  <si>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</si>
  <si>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</si>
  <si>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</si>
  <si>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</si>
  <si>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</si>
  <si>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</si>
  <si>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</si>
  <si>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</si>
  <si>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</si>
  <si>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</si>
  <si>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</si>
  <si>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reyka</t>
  </si>
  <si>
    <t>car</t>
  </si>
  <si>
    <t>рєика</t>
  </si>
  <si>
    <t>reykon</t>
  </si>
  <si>
    <t>vehicle</t>
  </si>
  <si>
    <t>рєикон</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</si>
  <si>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</si>
  <si>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</si>
  <si>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</si>
  <si>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</si>
  <si>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</si>
  <si>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</si>
  <si>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</si>
  <si>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</si>
  <si>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</si>
  <si>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</si>
  <si>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</si>
  <si>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</si>
  <si>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</si>
  <si>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</si>
  <si>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</si>
  <si>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riyschiyo</t>
  </si>
  <si>
    <t>knight</t>
  </si>
  <si>
    <t>рисчийо</t>
  </si>
  <si>
    <t>riyshdyu</t>
  </si>
  <si>
    <t>yesterday</t>
  </si>
  <si>
    <t>ришдйу</t>
  </si>
  <si>
    <t>rlato</t>
  </si>
  <si>
    <t>crew</t>
  </si>
  <si>
    <t>рлато</t>
  </si>
  <si>
    <t>rliykor</t>
  </si>
  <si>
    <t>faction</t>
  </si>
  <si>
    <t>рликор</t>
  </si>
  <si>
    <t>rlobovat</t>
  </si>
  <si>
    <t>to free</t>
  </si>
  <si>
    <t>рлобоват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</si>
  <si>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</si>
  <si>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</si>
  <si>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</si>
  <si>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</si>
  <si>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</si>
  <si>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</si>
  <si>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</si>
  <si>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</si>
  <si>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</si>
  <si>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</si>
  <si>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</si>
  <si>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</si>
  <si>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</si>
  <si>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</si>
  <si>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</si>
  <si>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</si>
  <si>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</si>
  <si>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</si>
  <si>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</si>
  <si>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</si>
  <si>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</si>
  <si>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</si>
  <si>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</si>
  <si>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</si>
  <si>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</si>
  <si>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</si>
  <si>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</si>
  <si>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</si>
  <si>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</si>
  <si>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</si>
  <si>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</si>
  <si>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</si>
  <si>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</si>
  <si>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</si>
  <si>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</si>
  <si>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</si>
  <si>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</si>
  <si>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</si>
  <si>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</si>
  <si>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</si>
  <si>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</si>
  <si>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</si>
  <si>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</si>
  <si>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</si>
  <si>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</si>
  <si>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rozkudat</t>
  </si>
  <si>
    <t>to rape, to sexually assault</t>
  </si>
  <si>
    <t>розкудат</t>
  </si>
  <si>
    <t>rukat</t>
  </si>
  <si>
    <t>battery, energy cell, energy weapon battery</t>
  </si>
  <si>
    <t>рукат</t>
  </si>
  <si>
    <t>rukeyka</t>
  </si>
  <si>
    <t>debris, rubble, crumbled pieces</t>
  </si>
  <si>
    <t>рукєика</t>
  </si>
  <si>
    <t>rukivta</t>
  </si>
  <si>
    <t>description</t>
  </si>
  <si>
    <t>руківта</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</si>
  <si>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</si>
  <si>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</si>
  <si>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</si>
  <si>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</si>
  <si>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</si>
  <si>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</si>
  <si>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</si>
  <si>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</si>
  <si>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</si>
  <si>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</si>
  <si>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</si>
  <si>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</si>
  <si>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</si>
  <si>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</si>
  <si>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</si>
  <si>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</si>
  <si>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</si>
  <si>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</si>
  <si>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</si>
  <si>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</si>
  <si>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</si>
  <si>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</si>
  <si>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</si>
  <si>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</si>
  <si>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sejrem</t>
  </si>
  <si>
    <t>meadows, grasslands</t>
  </si>
  <si>
    <t>сєжрєм</t>
  </si>
  <si>
    <t>seleyk</t>
  </si>
  <si>
    <t>gray, grey (adjective)</t>
  </si>
  <si>
    <t>сєлєик</t>
  </si>
  <si>
    <t>selin</t>
  </si>
  <si>
    <t>same, like, equal (adjective)</t>
  </si>
  <si>
    <t>сєлін</t>
  </si>
  <si>
    <t>sen</t>
  </si>
  <si>
    <t>he, him (nominative)</t>
  </si>
  <si>
    <t>сєн</t>
  </si>
  <si>
    <t>seniy</t>
  </si>
  <si>
    <t>he, him, his (genitive, possessive)</t>
  </si>
  <si>
    <t>сєни</t>
  </si>
  <si>
    <t>senva</t>
  </si>
  <si>
    <t>man, male</t>
  </si>
  <si>
    <t>сєнва</t>
  </si>
  <si>
    <t>sevakin</t>
  </si>
  <si>
    <t>mage, wizard, sorcerer, magic user</t>
  </si>
  <si>
    <t>сєвакін</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</si>
  <si>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</si>
  <si>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</si>
  <si>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</si>
  <si>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</si>
  <si>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</si>
  <si>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</si>
  <si>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</si>
  <si>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</si>
  <si>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</si>
  <si>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</si>
  <si>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</si>
  <si>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</si>
  <si>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</si>
  <si>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</si>
  <si>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</si>
  <si>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</si>
  <si>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</si>
  <si>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</si>
  <si>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</si>
  <si>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</si>
  <si>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</si>
  <si>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shelm</t>
  </si>
  <si>
    <t>mask</t>
  </si>
  <si>
    <t>шєлм</t>
  </si>
  <si>
    <t>shem</t>
  </si>
  <si>
    <t>how</t>
  </si>
  <si>
    <t>шєм</t>
  </si>
  <si>
    <t>shevya</t>
  </si>
  <si>
    <t>to care</t>
  </si>
  <si>
    <t>шєвйа</t>
  </si>
  <si>
    <t>sheynata</t>
  </si>
  <si>
    <t>rainy weather</t>
  </si>
  <si>
    <t>шєината</t>
  </si>
  <si>
    <t>sheynatahilm</t>
  </si>
  <si>
    <t>bathroom, shower room</t>
  </si>
  <si>
    <t>шєинатахілм</t>
  </si>
  <si>
    <t>shlyapa</t>
  </si>
  <si>
    <t>hat, headwear</t>
  </si>
  <si>
    <t>шлйапа</t>
  </si>
  <si>
    <t>shoglyo</t>
  </si>
  <si>
    <t>shark</t>
  </si>
  <si>
    <t>шоглйо</t>
  </si>
  <si>
    <t>sholosmat</t>
  </si>
  <si>
    <t>to clean, to wash</t>
  </si>
  <si>
    <t>шолосмат</t>
  </si>
  <si>
    <t>shtorm</t>
  </si>
  <si>
    <t>storm, tempest</t>
  </si>
  <si>
    <t>шторм</t>
  </si>
  <si>
    <t>sidat</t>
  </si>
  <si>
    <t>to sit</t>
  </si>
  <si>
    <t>сідат</t>
  </si>
  <si>
    <t>sifenmujye</t>
  </si>
  <si>
    <t>to surrender, to give up</t>
  </si>
  <si>
    <t>сіфєнмужйє</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</si>
  <si>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</si>
  <si>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</si>
  <si>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</si>
  <si>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</si>
  <si>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</si>
  <si>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</si>
  <si>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</si>
  <si>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</si>
  <si>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</si>
  <si>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</si>
  <si>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</si>
  <si>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</si>
  <si>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</si>
  <si>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</si>
  <si>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</si>
  <si>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</si>
  <si>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</si>
  <si>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</si>
  <si>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</si>
  <si>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</si>
  <si>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</si>
  <si>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</si>
  <si>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</si>
  <si>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</si>
  <si>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</si>
  <si>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</si>
  <si>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</si>
  <si>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</si>
  <si>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</si>
  <si>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</si>
  <si>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</si>
  <si>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</si>
  <si>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</si>
  <si>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</si>
  <si>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</si>
  <si>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</si>
  <si>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</si>
  <si>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</si>
  <si>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</si>
  <si>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</si>
  <si>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</si>
  <si>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</si>
  <si>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skotyat</t>
  </si>
  <si>
    <t>to write</t>
  </si>
  <si>
    <t>скотйат</t>
  </si>
  <si>
    <t>slava</t>
  </si>
  <si>
    <t>glory</t>
  </si>
  <si>
    <t>слава</t>
  </si>
  <si>
    <t>slaviynaskiy</t>
  </si>
  <si>
    <t>slavic</t>
  </si>
  <si>
    <t>славинаски</t>
  </si>
  <si>
    <t>sliykyat</t>
  </si>
  <si>
    <t>to lie down</t>
  </si>
  <si>
    <t>сликйат</t>
  </si>
  <si>
    <t>slyenyat</t>
  </si>
  <si>
    <t>to cut, to slice, to slit</t>
  </si>
  <si>
    <t>слйєнйат</t>
  </si>
  <si>
    <t>smiyat</t>
  </si>
  <si>
    <t>to take off, to doff</t>
  </si>
  <si>
    <t>смійат</t>
  </si>
  <si>
    <t>smoterat</t>
  </si>
  <si>
    <t>to stare, to gaze at, to look intensely</t>
  </si>
  <si>
    <t>смотєрат</t>
  </si>
  <si>
    <t>snova</t>
  </si>
  <si>
    <t>again (adverb)</t>
  </si>
  <si>
    <t>снова</t>
  </si>
  <si>
    <t>snyoma</t>
  </si>
  <si>
    <t>snow</t>
  </si>
  <si>
    <t>снйома</t>
  </si>
  <si>
    <t>sobaka</t>
  </si>
  <si>
    <t>dog</t>
  </si>
  <si>
    <t>собака</t>
  </si>
  <si>
    <t>sodyaditsiy</t>
  </si>
  <si>
    <t>sauce</t>
  </si>
  <si>
    <t>содйадіци</t>
  </si>
  <si>
    <t>sokovat</t>
  </si>
  <si>
    <t>to sell</t>
  </si>
  <si>
    <t>соковат</t>
  </si>
  <si>
    <t>solnyetye</t>
  </si>
  <si>
    <t>sun</t>
  </si>
  <si>
    <t>солнйєтйє</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</si>
  <si>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</si>
  <si>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</si>
  <si>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</si>
  <si>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</si>
  <si>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</si>
  <si>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</si>
  <si>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</si>
  <si>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</si>
  <si>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</si>
  <si>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</si>
  <si>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</si>
  <si>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</si>
  <si>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</si>
  <si>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</si>
  <si>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</si>
  <si>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sorko</t>
  </si>
  <si>
    <t>sorkuls (monster)</t>
  </si>
  <si>
    <t>сорко</t>
  </si>
  <si>
    <t>sorn</t>
  </si>
  <si>
    <t>down (adverb, preposition)</t>
  </si>
  <si>
    <t>сорн</t>
  </si>
  <si>
    <t>sovadiy</t>
  </si>
  <si>
    <t>dictionary</t>
  </si>
  <si>
    <t>совади</t>
  </si>
  <si>
    <t>spokanchiyo</t>
  </si>
  <si>
    <t>message</t>
  </si>
  <si>
    <t>споканчийо</t>
  </si>
  <si>
    <t>sproskat</t>
  </si>
  <si>
    <t>to ask</t>
  </si>
  <si>
    <t>спроскат</t>
  </si>
  <si>
    <t>spyoziynat</t>
  </si>
  <si>
    <t>to sleep</t>
  </si>
  <si>
    <t>спйозинат</t>
  </si>
  <si>
    <t>srim</t>
  </si>
  <si>
    <t>green</t>
  </si>
  <si>
    <t>срім</t>
  </si>
  <si>
    <t>sroviri</t>
  </si>
  <si>
    <t>ritual, casting a spell action</t>
  </si>
  <si>
    <t>сровірі</t>
  </si>
  <si>
    <t>stachevat</t>
  </si>
  <si>
    <t>to tow, to drag</t>
  </si>
  <si>
    <t>стачєват</t>
  </si>
  <si>
    <t>stakviya</t>
  </si>
  <si>
    <t>to bet, to gamble</t>
  </si>
  <si>
    <t>стаквійа</t>
  </si>
  <si>
    <t>stamiy</t>
  </si>
  <si>
    <t>belt</t>
  </si>
  <si>
    <t>стами</t>
  </si>
  <si>
    <t>statach</t>
  </si>
  <si>
    <t>speech</t>
  </si>
  <si>
    <t>статач</t>
  </si>
  <si>
    <t>stelsya</t>
  </si>
  <si>
    <t>to relax, to rest</t>
  </si>
  <si>
    <t>стєлсйа</t>
  </si>
  <si>
    <t>stodon</t>
  </si>
  <si>
    <t>hundred</t>
  </si>
  <si>
    <t>стодон</t>
  </si>
  <si>
    <t>stoma</t>
  </si>
  <si>
    <t>ground, the ground, land</t>
  </si>
  <si>
    <t>стома</t>
  </si>
  <si>
    <t>stoyat</t>
  </si>
  <si>
    <t>to stand</t>
  </si>
  <si>
    <t>стойат</t>
  </si>
  <si>
    <t>stoyshatsiy</t>
  </si>
  <si>
    <t>character, avatar, person</t>
  </si>
  <si>
    <t>стоишаци</t>
  </si>
  <si>
    <t>styonat</t>
  </si>
  <si>
    <t>to moan, to groan</t>
  </si>
  <si>
    <t>стйонат</t>
  </si>
  <si>
    <t>styoza</t>
  </si>
  <si>
    <t>between (preposition)</t>
  </si>
  <si>
    <t>стйоза</t>
  </si>
  <si>
    <t>svoloch</t>
  </si>
  <si>
    <t>bastard (insult)</t>
  </si>
  <si>
    <t>сволоч</t>
  </si>
  <si>
    <t>syatsla</t>
  </si>
  <si>
    <t>snake, serpent</t>
  </si>
  <si>
    <t>сйацла</t>
  </si>
  <si>
    <t>syekla</t>
  </si>
  <si>
    <t>wire</t>
  </si>
  <si>
    <t>сйєкла</t>
  </si>
  <si>
    <t>syero</t>
  </si>
  <si>
    <t>here (noun, adverb)</t>
  </si>
  <si>
    <t>сйєро</t>
  </si>
  <si>
    <t>syevyel</t>
  </si>
  <si>
    <t>water</t>
  </si>
  <si>
    <t>сйєвйєл</t>
  </si>
  <si>
    <t>ta</t>
  </si>
  <si>
    <t>to, towards, for, at, till</t>
  </si>
  <si>
    <t>та</t>
  </si>
  <si>
    <t>talgat</t>
  </si>
  <si>
    <t>to change something</t>
  </si>
  <si>
    <t>талгат</t>
  </si>
  <si>
    <t>tam</t>
  </si>
  <si>
    <t>there</t>
  </si>
  <si>
    <t>там</t>
  </si>
  <si>
    <t>tamok</t>
  </si>
  <si>
    <t>desert</t>
  </si>
  <si>
    <t>тамок</t>
  </si>
  <si>
    <t>tanakin</t>
  </si>
  <si>
    <t>square</t>
  </si>
  <si>
    <t>танакін</t>
  </si>
  <si>
    <t>tantsevat</t>
  </si>
  <si>
    <t>to dance</t>
  </si>
  <si>
    <t>танцєват</t>
  </si>
  <si>
    <t>tasmot</t>
  </si>
  <si>
    <t>fast, quick (adjective)</t>
  </si>
  <si>
    <t>тасмот</t>
  </si>
  <si>
    <t>tasnakin</t>
  </si>
  <si>
    <t>kilometer</t>
  </si>
  <si>
    <t>таснакін</t>
  </si>
  <si>
    <t>taspel</t>
  </si>
  <si>
    <t>kilogram, 1000 grams</t>
  </si>
  <si>
    <t>таспєл</t>
  </si>
  <si>
    <t>tastanak</t>
  </si>
  <si>
    <t>thousand</t>
  </si>
  <si>
    <t>тастанак</t>
  </si>
  <si>
    <t>tatasat</t>
  </si>
  <si>
    <t>to talk, to speak, to say</t>
  </si>
  <si>
    <t>татасат</t>
  </si>
  <si>
    <t>tatsya</t>
  </si>
  <si>
    <t>to tie a knot, to secure</t>
  </si>
  <si>
    <t>тацйа</t>
  </si>
  <si>
    <t>tem</t>
  </si>
  <si>
    <t>shirt</t>
  </si>
  <si>
    <t>тєм</t>
  </si>
  <si>
    <t>temen</t>
  </si>
  <si>
    <t>rich (adjective)</t>
  </si>
  <si>
    <t>тємєн</t>
  </si>
  <si>
    <t>tepliy</t>
  </si>
  <si>
    <t>warm (adjective)</t>
  </si>
  <si>
    <t>тєпли</t>
  </si>
  <si>
    <t>teshem</t>
  </si>
  <si>
    <t>skin</t>
  </si>
  <si>
    <t>тєшєм</t>
  </si>
  <si>
    <t>teviysla</t>
  </si>
  <si>
    <t>careful (adverb, adjective)</t>
  </si>
  <si>
    <t>тєвисла</t>
  </si>
  <si>
    <t>teviysya</t>
  </si>
  <si>
    <t>to watch</t>
  </si>
  <si>
    <t>тєвисйа</t>
  </si>
  <si>
    <t>teyn</t>
  </si>
  <si>
    <t>a second</t>
  </si>
  <si>
    <t>тєин</t>
  </si>
  <si>
    <t>tiglom</t>
  </si>
  <si>
    <t>lizard</t>
  </si>
  <si>
    <t>тіглом</t>
  </si>
  <si>
    <t>tinsha</t>
  </si>
  <si>
    <t>three</t>
  </si>
  <si>
    <t>тінша</t>
  </si>
  <si>
    <t>tivargat</t>
  </si>
  <si>
    <t>to connect, to join, to connect to a radio, to plug a wire</t>
  </si>
  <si>
    <t>тіваргат</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</si>
  <si>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</si>
  <si>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</si>
  <si>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</si>
  <si>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</si>
  <si>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</si>
  <si>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</si>
  <si>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</si>
  <si>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</si>
  <si>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</si>
  <si>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</si>
  <si>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</si>
  <si>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</si>
  <si>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</si>
  <si>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</si>
  <si>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</si>
  <si>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</si>
  <si>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</si>
  <si>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</si>
  <si>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</si>
  <si>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</si>
  <si>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</si>
  <si>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</si>
  <si>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</si>
  <si>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</si>
  <si>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</si>
  <si>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</si>
  <si>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</si>
  <si>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tosya</t>
  </si>
  <si>
    <t>to crouch</t>
  </si>
  <si>
    <t>тосйа</t>
  </si>
  <si>
    <t>toya</t>
  </si>
  <si>
    <t>to travel, to go, to move to</t>
  </si>
  <si>
    <t>тойа</t>
  </si>
  <si>
    <t>toya-seyrin</t>
  </si>
  <si>
    <t>traveler, traveling ship (not a battleship)</t>
  </si>
  <si>
    <t>тойа-сєирін</t>
  </si>
  <si>
    <t>trava</t>
  </si>
  <si>
    <t>grass</t>
  </si>
  <si>
    <t>трава</t>
  </si>
  <si>
    <t>tromyat</t>
  </si>
  <si>
    <t>to attack</t>
  </si>
  <si>
    <t>тромйат</t>
  </si>
  <si>
    <t>tsadyat</t>
  </si>
  <si>
    <t>to poke, to tap</t>
  </si>
  <si>
    <t>цадйат</t>
  </si>
  <si>
    <t>tsajyo</t>
  </si>
  <si>
    <t>a thousand fluid ounces, 1000 fl oz</t>
  </si>
  <si>
    <t>цажйо</t>
  </si>
  <si>
    <t>tsdobrama</t>
  </si>
  <si>
    <t>pie, pastry</t>
  </si>
  <si>
    <t>цдобрама</t>
  </si>
  <si>
    <t>tsija</t>
  </si>
  <si>
    <t>an inch</t>
  </si>
  <si>
    <t>ціжа</t>
  </si>
  <si>
    <t>tsonoye</t>
  </si>
  <si>
    <t>the rest, the remaining</t>
  </si>
  <si>
    <t>цонойє</t>
  </si>
  <si>
    <t>tsuk</t>
  </si>
  <si>
    <t>door</t>
  </si>
  <si>
    <t>цук</t>
  </si>
  <si>
    <t>tsvetok</t>
  </si>
  <si>
    <t>flower, bloom</t>
  </si>
  <si>
    <t>цвєток</t>
  </si>
  <si>
    <t>tsyatsya</t>
  </si>
  <si>
    <t>to try</t>
  </si>
  <si>
    <t>цйацйа</t>
  </si>
  <si>
    <t>tsyomat</t>
  </si>
  <si>
    <t>to wear, to don</t>
  </si>
  <si>
    <t>цйомат</t>
  </si>
  <si>
    <t>tumron</t>
  </si>
  <si>
    <t>orange</t>
  </si>
  <si>
    <t>тумрон</t>
  </si>
  <si>
    <t>tuntem</t>
  </si>
  <si>
    <t>shadow</t>
  </si>
  <si>
    <t>тунтєм</t>
  </si>
  <si>
    <t>tusheno</t>
  </si>
  <si>
    <t>stew</t>
  </si>
  <si>
    <t>тушєно</t>
  </si>
  <si>
    <t>tuvigye</t>
  </si>
  <si>
    <t>system</t>
  </si>
  <si>
    <t>тувігйє</t>
  </si>
  <si>
    <t>tyevelm</t>
  </si>
  <si>
    <t>game, sport</t>
  </si>
  <si>
    <t>тйєвєлм</t>
  </si>
  <si>
    <t>tyevesat</t>
  </si>
  <si>
    <t>to sail, to row a boat</t>
  </si>
  <si>
    <t>тйєвєсат</t>
  </si>
  <si>
    <t>ukelin</t>
  </si>
  <si>
    <t>violin</t>
  </si>
  <si>
    <t>укєлін</t>
  </si>
  <si>
    <t>umerat</t>
  </si>
  <si>
    <t>to die</t>
  </si>
  <si>
    <t>умєрат</t>
  </si>
  <si>
    <t>umeretso</t>
  </si>
  <si>
    <t>death</t>
  </si>
  <si>
    <t>умєрєцо</t>
  </si>
  <si>
    <t>unata</t>
  </si>
  <si>
    <t>short (adjective)</t>
  </si>
  <si>
    <t>уната</t>
  </si>
  <si>
    <t>unu-</t>
  </si>
  <si>
    <t>negator prefix</t>
  </si>
  <si>
    <t>уну-</t>
  </si>
  <si>
    <t>unu-mrotiysniy</t>
  </si>
  <si>
    <t>uncomfortable (adjective)</t>
  </si>
  <si>
    <t>уну-мротисни</t>
  </si>
  <si>
    <t>usinan</t>
  </si>
  <si>
    <t>ulsinan</t>
  </si>
  <si>
    <t>усінан</t>
  </si>
  <si>
    <t>utro</t>
  </si>
  <si>
    <t>morning</t>
  </si>
  <si>
    <t>утро</t>
  </si>
  <si>
    <t>vakaj</t>
  </si>
  <si>
    <t>tank</t>
  </si>
  <si>
    <t>вакаж</t>
  </si>
  <si>
    <t>valashem</t>
  </si>
  <si>
    <t>sword</t>
  </si>
  <si>
    <t>валашєм</t>
  </si>
  <si>
    <t>vampir</t>
  </si>
  <si>
    <t>vampire</t>
  </si>
  <si>
    <t>вампір</t>
  </si>
  <si>
    <t>vanav</t>
  </si>
  <si>
    <t>eight</t>
  </si>
  <si>
    <t>ванав</t>
  </si>
  <si>
    <t>variyn</t>
  </si>
  <si>
    <t>smoke</t>
  </si>
  <si>
    <t>варин</t>
  </si>
  <si>
    <t>vark</t>
  </si>
  <si>
    <t>wolf</t>
  </si>
  <si>
    <t>варк</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</si>
  <si>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</si>
  <si>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</si>
  <si>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</si>
  <si>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</si>
  <si>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</si>
  <si>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</si>
  <si>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</si>
  <si>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</si>
  <si>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</si>
  <si>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</si>
  <si>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</si>
  <si>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</si>
  <si>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</si>
  <si>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</si>
  <si>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</si>
  <si>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</si>
  <si>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</si>
  <si>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</si>
  <si>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vemejya</t>
  </si>
  <si>
    <t>to invent</t>
  </si>
  <si>
    <t>вємєжйа</t>
  </si>
  <si>
    <t>venkel</t>
  </si>
  <si>
    <t>seven</t>
  </si>
  <si>
    <t>вєнкєл</t>
  </si>
  <si>
    <t>verat</t>
  </si>
  <si>
    <t>to start</t>
  </si>
  <si>
    <t>вєрат</t>
  </si>
  <si>
    <t>vereta</t>
  </si>
  <si>
    <t>festival</t>
  </si>
  <si>
    <t>вєрєта</t>
  </si>
  <si>
    <t>vernutsya</t>
  </si>
  <si>
    <t>to return</t>
  </si>
  <si>
    <t>вєрнуцйа</t>
  </si>
  <si>
    <t>vidniy</t>
  </si>
  <si>
    <t>bold, prominent, sticking out, different (adjective)</t>
  </si>
  <si>
    <t>відни</t>
  </si>
  <si>
    <t>viltav</t>
  </si>
  <si>
    <t>alarm</t>
  </si>
  <si>
    <t>вілтав</t>
  </si>
  <si>
    <t>vinov</t>
  </si>
  <si>
    <t>purple, violet</t>
  </si>
  <si>
    <t>вінов</t>
  </si>
  <si>
    <t>vintsha</t>
  </si>
  <si>
    <t>wine, beer, ale, alchoholic drink</t>
  </si>
  <si>
    <t>вінтша</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</si>
  <si>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</si>
  <si>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</si>
  <si>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</si>
  <si>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</si>
  <si>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</si>
  <si>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</si>
  <si>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</si>
  <si>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</si>
  <si>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</si>
  <si>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</si>
  <si>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</si>
  <si>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</si>
  <si>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</si>
  <si>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</si>
  <si>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</si>
  <si>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</si>
  <si>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</si>
  <si>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</si>
  <si>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</si>
  <si>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</si>
  <si>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</si>
  <si>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vleysho</t>
  </si>
  <si>
    <t>flight</t>
  </si>
  <si>
    <t>влєишо</t>
  </si>
  <si>
    <t>vleyshyat</t>
  </si>
  <si>
    <t>to fly</t>
  </si>
  <si>
    <t>влєишйат</t>
  </si>
  <si>
    <t>vlik</t>
  </si>
  <si>
    <t>wet (adjective)</t>
  </si>
  <si>
    <t>влік</t>
  </si>
  <si>
    <t>vliyn</t>
  </si>
  <si>
    <t>when (conjunction)</t>
  </si>
  <si>
    <t>влин</t>
  </si>
  <si>
    <t>vlo</t>
  </si>
  <si>
    <t>what</t>
  </si>
  <si>
    <t>вло</t>
  </si>
  <si>
    <t>vlo za fyadkaziy</t>
  </si>
  <si>
    <t>what the hell, wtf (cuss)</t>
  </si>
  <si>
    <t>вло за фйадкази</t>
  </si>
  <si>
    <t>vlom</t>
  </si>
  <si>
    <t>more (adjective, adverb)</t>
  </si>
  <si>
    <t>влом</t>
  </si>
  <si>
    <t>vlonorik</t>
  </si>
  <si>
    <t>technology</t>
  </si>
  <si>
    <t>влонорік</t>
  </si>
  <si>
    <t>vlot</t>
  </si>
  <si>
    <t>would</t>
  </si>
  <si>
    <t>влот</t>
  </si>
  <si>
    <t>vlunst</t>
  </si>
  <si>
    <t>motor</t>
  </si>
  <si>
    <t>влунст</t>
  </si>
  <si>
    <t>vlunstsikol</t>
  </si>
  <si>
    <t>motorcycle, motorbike, dirt bike</t>
  </si>
  <si>
    <t>влунсцікол</t>
  </si>
  <si>
    <t>vlyevlir</t>
  </si>
  <si>
    <t>elevator, lift</t>
  </si>
  <si>
    <t>влйєвлір</t>
  </si>
  <si>
    <t>vlyu</t>
  </si>
  <si>
    <t>who</t>
  </si>
  <si>
    <t>влйу</t>
  </si>
  <si>
    <t>vnikyat</t>
  </si>
  <si>
    <t>to generate, to make from nothing</t>
  </si>
  <si>
    <t>внікйат</t>
  </si>
  <si>
    <t>vnyertiyak</t>
  </si>
  <si>
    <t>hell</t>
  </si>
  <si>
    <t>внйєртійак</t>
  </si>
  <si>
    <t>vodrin</t>
  </si>
  <si>
    <t>week</t>
  </si>
  <si>
    <t>водрін</t>
  </si>
  <si>
    <t>voldat</t>
  </si>
  <si>
    <t>to think</t>
  </si>
  <si>
    <t>волдат</t>
  </si>
  <si>
    <t>volik</t>
  </si>
  <si>
    <t>potion</t>
  </si>
  <si>
    <t>волік</t>
  </si>
  <si>
    <t>voljun</t>
  </si>
  <si>
    <t>demon</t>
  </si>
  <si>
    <t>волжун</t>
  </si>
  <si>
    <t>volnok</t>
  </si>
  <si>
    <t>volstone (monster, golem)</t>
  </si>
  <si>
    <t>волнок</t>
  </si>
  <si>
    <t>vomeygerat</t>
  </si>
  <si>
    <t>to disappear</t>
  </si>
  <si>
    <t>вомєигєрат</t>
  </si>
  <si>
    <t>vorgatsya</t>
  </si>
  <si>
    <t>to invade</t>
  </si>
  <si>
    <t>воргацйа</t>
  </si>
  <si>
    <t>vosha</t>
  </si>
  <si>
    <t>evening</t>
  </si>
  <si>
    <t>воша</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</si>
  <si>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</si>
  <si>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</si>
  <si>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</si>
  <si>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</si>
  <si>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</si>
  <si>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</si>
  <si>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</si>
  <si>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</si>
  <si>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</si>
  <si>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</si>
  <si>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</si>
  <si>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</si>
  <si>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</si>
  <si>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</si>
  <si>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</si>
  <si>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voysko</t>
  </si>
  <si>
    <t>military, army</t>
  </si>
  <si>
    <t>воиско</t>
  </si>
  <si>
    <t>vriynyat</t>
  </si>
  <si>
    <t>to take, to grab</t>
  </si>
  <si>
    <t>вринйат</t>
  </si>
  <si>
    <t>vrolo</t>
  </si>
  <si>
    <t>where</t>
  </si>
  <si>
    <t>вроло</t>
  </si>
  <si>
    <t>vtir</t>
  </si>
  <si>
    <t>after</t>
  </si>
  <si>
    <t>втір</t>
  </si>
  <si>
    <t>vtushiy</t>
  </si>
  <si>
    <t>while, whilst (conjunction)</t>
  </si>
  <si>
    <t>втуши</t>
  </si>
  <si>
    <t>vtyesho</t>
  </si>
  <si>
    <t>before (conjunction)</t>
  </si>
  <si>
    <t>втйєшо</t>
  </si>
  <si>
    <t>vuk</t>
  </si>
  <si>
    <t>angry, mad (adjective)</t>
  </si>
  <si>
    <t>вук</t>
  </si>
  <si>
    <t>vyada</t>
  </si>
  <si>
    <t>fire</t>
  </si>
  <si>
    <t>вйада</t>
  </si>
  <si>
    <t>vye</t>
  </si>
  <si>
    <t>in, inside, at (noun, preposition)</t>
  </si>
  <si>
    <t>вйє</t>
  </si>
  <si>
    <t>vyela</t>
  </si>
  <si>
    <t>hair, fur</t>
  </si>
  <si>
    <t>вйєла</t>
  </si>
  <si>
    <t>vyenyets</t>
  </si>
  <si>
    <t>circlet</t>
  </si>
  <si>
    <t>вйєнйєц</t>
  </si>
  <si>
    <t>vyo</t>
  </si>
  <si>
    <t>no</t>
  </si>
  <si>
    <t>вйо</t>
  </si>
  <si>
    <t>yabladiya</t>
  </si>
  <si>
    <t>to thank</t>
  </si>
  <si>
    <t>йабладійа</t>
  </si>
  <si>
    <t>yad</t>
  </si>
  <si>
    <t>yes</t>
  </si>
  <si>
    <t>йад</t>
  </si>
  <si>
    <t>yadro</t>
  </si>
  <si>
    <t>core, heart, center</t>
  </si>
  <si>
    <t>йадро</t>
  </si>
  <si>
    <t>yaglut</t>
  </si>
  <si>
    <t>gear, cogwheel</t>
  </si>
  <si>
    <t>йаглут</t>
  </si>
  <si>
    <t>yameyga</t>
  </si>
  <si>
    <t>gymnastics</t>
  </si>
  <si>
    <t>йамєига</t>
  </si>
  <si>
    <t>yanom</t>
  </si>
  <si>
    <t>sound, noise</t>
  </si>
  <si>
    <t>йаном</t>
  </si>
  <si>
    <t>yasha</t>
  </si>
  <si>
    <t>gift, present</t>
  </si>
  <si>
    <t>йаша</t>
  </si>
  <si>
    <t>yeda</t>
  </si>
  <si>
    <t>food, meal</t>
  </si>
  <si>
    <t>йєда</t>
  </si>
  <si>
    <t>yego</t>
  </si>
  <si>
    <t>clay</t>
  </si>
  <si>
    <t>йєго</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</si>
  <si>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</si>
  <si>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</si>
  <si>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</si>
  <si>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</si>
  <si>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</si>
  <si>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</si>
  <si>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</si>
  <si>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</si>
  <si>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</si>
  <si>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</si>
  <si>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</si>
  <si>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</si>
  <si>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</si>
  <si>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</si>
  <si>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</si>
  <si>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</si>
  <si>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</si>
  <si>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</si>
  <si>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</si>
  <si>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</si>
  <si>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</si>
  <si>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</si>
  <si>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</si>
  <si>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</si>
  <si>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yetosya</t>
  </si>
  <si>
    <t>to eat</t>
  </si>
  <si>
    <t>йєтосйа</t>
  </si>
  <si>
    <t>yev</t>
  </si>
  <si>
    <t>son</t>
  </si>
  <si>
    <t>йєв</t>
  </si>
  <si>
    <t>yibik</t>
  </si>
  <si>
    <t>coin</t>
  </si>
  <si>
    <t>їбік</t>
  </si>
  <si>
    <t>yigala</t>
  </si>
  <si>
    <t>noodles</t>
  </si>
  <si>
    <t>їгала</t>
  </si>
  <si>
    <t>yin</t>
  </si>
  <si>
    <t>time</t>
  </si>
  <si>
    <t>їн</t>
  </si>
  <si>
    <t>yiv</t>
  </si>
  <si>
    <t>river, stream</t>
  </si>
  <si>
    <t>їв</t>
  </si>
  <si>
    <t>yofeln</t>
  </si>
  <si>
    <t>cargo</t>
  </si>
  <si>
    <t>йофєлн</t>
  </si>
  <si>
    <t>yolen</t>
  </si>
  <si>
    <t>computer chip, microchip, circuit board</t>
  </si>
  <si>
    <t>йолєн</t>
  </si>
  <si>
    <t>yom</t>
  </si>
  <si>
    <t>celsius (temperature)</t>
  </si>
  <si>
    <t>йом</t>
  </si>
  <si>
    <t>yonom</t>
  </si>
  <si>
    <t>temperature, heat</t>
  </si>
  <si>
    <t>йоном</t>
  </si>
  <si>
    <t>yotat</t>
  </si>
  <si>
    <t>to want, to wish</t>
  </si>
  <si>
    <t>йотат</t>
  </si>
  <si>
    <t>za</t>
  </si>
  <si>
    <t>it, the, that</t>
  </si>
  <si>
    <t>за</t>
  </si>
  <si>
    <t>za joklun joglod</t>
  </si>
  <si>
    <t>surprise interjection, meaning "great god", "holy shit", "holy cow", "holy moly", etc</t>
  </si>
  <si>
    <t>за жоклун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</si>
  <si>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</si>
  <si>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</si>
  <si>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</si>
  <si>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</si>
  <si>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</si>
  <si>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</si>
  <si>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</si>
  <si>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</si>
  <si>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</si>
  <si>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</si>
  <si>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</si>
  <si>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</si>
  <si>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</si>
  <si>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</si>
  <si>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</si>
  <si>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</si>
  <si>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</si>
  <si>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</si>
  <si>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zischat</t>
  </si>
  <si>
    <t>to clean</t>
  </si>
  <si>
    <t>зісчат</t>
  </si>
  <si>
    <t>ziynak</t>
  </si>
  <si>
    <t>bomb, explosion</t>
  </si>
  <si>
    <t>зинак</t>
  </si>
  <si>
    <t>zlobra</t>
  </si>
  <si>
    <t>monster, unknown creature</t>
  </si>
  <si>
    <t>злобра</t>
  </si>
  <si>
    <t>zlomat</t>
  </si>
  <si>
    <t>to slash, to cut, to hew</t>
  </si>
  <si>
    <t>зломат</t>
  </si>
  <si>
    <t>zloy</t>
  </si>
  <si>
    <t>evil, dark, grim (adjective)</t>
  </si>
  <si>
    <t>злои</t>
  </si>
  <si>
    <t>zlyamkiya</t>
  </si>
  <si>
    <t>to stab, to stick in</t>
  </si>
  <si>
    <t>злйамкійа</t>
  </si>
  <si>
    <t>znagevyat</t>
  </si>
  <si>
    <t>to capture, to take over</t>
  </si>
  <si>
    <t>знагєвйат</t>
  </si>
  <si>
    <t>znat</t>
  </si>
  <si>
    <t>to know, to understand</t>
  </si>
  <si>
    <t>знат</t>
  </si>
  <si>
    <t>znomo</t>
  </si>
  <si>
    <t>janitor</t>
  </si>
  <si>
    <t>зномо</t>
  </si>
  <si>
    <t>zoloto</t>
  </si>
  <si>
    <t>gold, blond (adjective)</t>
  </si>
  <si>
    <t>золото</t>
  </si>
  <si>
    <t>zombiy</t>
  </si>
  <si>
    <t>zombie</t>
  </si>
  <si>
    <t>зомби</t>
  </si>
  <si>
    <t>zrokno</t>
  </si>
  <si>
    <t>prison, jail</t>
  </si>
  <si>
    <t>зрокно</t>
  </si>
  <si>
    <t>zyej</t>
  </si>
  <si>
    <t>life</t>
  </si>
  <si>
    <t>зйєж</t>
  </si>
  <si>
    <t>zyejat</t>
  </si>
  <si>
    <t>to live</t>
  </si>
  <si>
    <t>зйєжат</t>
  </si>
  <si>
    <t>zyejniy</t>
  </si>
  <si>
    <t>alive (adjective)</t>
  </si>
  <si>
    <t>зйєжни</t>
  </si>
  <si>
    <t>zyetoda</t>
  </si>
  <si>
    <t>a lute</t>
  </si>
  <si>
    <t>зйєтода</t>
  </si>
  <si>
    <t>zyovola</t>
  </si>
  <si>
    <t>a lyre</t>
  </si>
  <si>
    <t>зйовола</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</si>
</sst>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TRUE)"),"armank")</f>
        <v>armank</v>
      </c>
      <c r="H5" s="10" t="str">
        <f>IFERROR(__xludf.DUMMYFUNCTION("""COMPUTED_VALUE"""),"armanite")</f>
        <v>armanite</v>
      </c>
      <c r="I5" s="8" t="str">
        <f>IFERROR(__xludf.DUMMYFUNCTION("""COMPUTED_VALUE"""),"арманк")</f>
        <v>арманк</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IFERROR(__xludf.DUMMYFUNCTION("""COMPUTED_VALUE"""),"markav")</f>
        <v>markav</v>
      </c>
      <c r="H6" s="18" t="str">
        <f>IFERROR(__xludf.DUMMYFUNCTION("""COMPUTED_VALUE"""),"command")</f>
        <v>command</v>
      </c>
      <c r="I6" s="8" t="str">
        <f>IFERROR(__xludf.DUMMYFUNCTION("""COMPUTED_VALUE"""),"маркав")</f>
        <v>маркав</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t="str">
        <f>IFERROR(__xludf.DUMMYFUNCTION("""COMPUTED_VALUE"""),"chanenk")</f>
        <v>chanenk</v>
      </c>
      <c r="H7" s="18" t="str">
        <f>IFERROR(__xludf.DUMMYFUNCTION("""COMPUTED_VALUE"""),"human")</f>
        <v>human</v>
      </c>
      <c r="I7" s="8" t="str">
        <f>IFERROR(__xludf.DUMMYFUNCTION("""COMPUTED_VALUE"""),"чанєнк")</f>
        <v>чанєнк</v>
      </c>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t="str">
        <f>IFERROR(__xludf.DUMMYFUNCTION("""COMPUTED_VALUE"""),"ahekero")</f>
        <v>ahekero</v>
      </c>
      <c r="H8" s="18" t="str">
        <f>IFERROR(__xludf.DUMMYFUNCTION("""COMPUTED_VALUE"""),"humanoid")</f>
        <v>humanoid</v>
      </c>
      <c r="I8" s="8" t="str">
        <f>IFERROR(__xludf.DUMMYFUNCTION("""COMPUTED_VALUE"""),"ахєкєро")</f>
        <v>ахєкєро</v>
      </c>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t="str">
        <f>IFERROR(__xludf.DUMMYFUNCTION("""COMPUTED_VALUE"""),"niskamra")</f>
        <v>niskamra</v>
      </c>
      <c r="H9" s="18" t="str">
        <f>IFERROR(__xludf.DUMMYFUNCTION("""COMPUTED_VALUE"""),"magic, superhuman power")</f>
        <v>magic, superhuman power</v>
      </c>
      <c r="I9" s="8" t="str">
        <f>IFERROR(__xludf.DUMMYFUNCTION("""COMPUTED_VALUE"""),"ніскамра")</f>
        <v>ніскамра</v>
      </c>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t="str">
        <f>IFERROR(__xludf.DUMMYFUNCTION("""COMPUTED_VALUE"""),"senva")</f>
        <v>senva</v>
      </c>
      <c r="H10" s="18" t="str">
        <f>IFERROR(__xludf.DUMMYFUNCTION("""COMPUTED_VALUE"""),"man, male")</f>
        <v>man, male</v>
      </c>
      <c r="I10" s="8" t="str">
        <f>IFERROR(__xludf.DUMMYFUNCTION("""COMPUTED_VALUE"""),"сєнва")</f>
        <v>сєнва</v>
      </c>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t="str">
        <f>IFERROR(__xludf.DUMMYFUNCTION("""COMPUTED_VALUE"""),"chanenk-rlova")</f>
        <v>chanenk-rlova</v>
      </c>
      <c r="H11" s="18" t="str">
        <f>IFERROR(__xludf.DUMMYFUNCTION("""COMPUTED_VALUE"""),"mankind, humans")</f>
        <v>mankind, humans</v>
      </c>
      <c r="I11" s="8" t="str">
        <f>IFERROR(__xludf.DUMMYFUNCTION("""COMPUTED_VALUE"""),"чанєнк-рлова")</f>
        <v>чанєнк-рлова</v>
      </c>
      <c r="J11" s="10" t="s">
        <v>68</v>
      </c>
      <c r="K11" s="10"/>
      <c r="L11" s="10"/>
      <c r="M11" s="10"/>
      <c r="N11" s="10"/>
      <c r="O11" s="18"/>
      <c r="P11" s="18"/>
      <c r="Q11" s="10"/>
      <c r="R11" s="10"/>
      <c r="S11" s="18"/>
      <c r="T11" s="10"/>
      <c r="U11" s="10"/>
      <c r="V11" s="10"/>
      <c r="W11" s="18"/>
      <c r="X11" s="18"/>
    </row>
    <row r="12">
      <c r="A12" s="10" t="s">
        <v>69</v>
      </c>
      <c r="B12" s="10" t="s">
        <v>70</v>
      </c>
      <c r="C12" s="10" t="s">
        <v>71</v>
      </c>
      <c r="D12" s="23" t="s">
        <v>72</v>
      </c>
      <c r="E12" s="23" t="s">
        <v>26</v>
      </c>
      <c r="F12" s="23" t="s">
        <v>73</v>
      </c>
      <c r="G12" s="18" t="str">
        <f>IFERROR(__xludf.DUMMYFUNCTION("""COMPUTED_VALUE"""),"manyerta")</f>
        <v>manyerta</v>
      </c>
      <c r="H12" s="18" t="str">
        <f>IFERROR(__xludf.DUMMYFUNCTION("""COMPUTED_VALUE"""),"manners, behaviour")</f>
        <v>manners, behaviour</v>
      </c>
      <c r="I12" s="8" t="str">
        <f>IFERROR(__xludf.DUMMYFUNCTION("""COMPUTED_VALUE"""),"манйєрта")</f>
        <v>манйєрта</v>
      </c>
      <c r="J12" s="10"/>
      <c r="K12" s="10"/>
      <c r="L12" s="10"/>
      <c r="M12" s="10"/>
      <c r="N12" s="10"/>
      <c r="O12" s="18"/>
      <c r="P12" s="18"/>
      <c r="Q12" s="10"/>
      <c r="R12" s="10"/>
      <c r="S12" s="18"/>
      <c r="T12" s="10"/>
      <c r="U12" s="10"/>
      <c r="V12" s="10"/>
      <c r="W12" s="18"/>
      <c r="X12" s="18"/>
    </row>
    <row r="13">
      <c r="A13" s="10" t="s">
        <v>74</v>
      </c>
      <c r="B13" s="10" t="s">
        <v>75</v>
      </c>
      <c r="C13" s="10" t="s">
        <v>76</v>
      </c>
      <c r="D13" s="23" t="s">
        <v>77</v>
      </c>
      <c r="E13" s="23" t="s">
        <v>26</v>
      </c>
      <c r="F13" s="23" t="s">
        <v>78</v>
      </c>
      <c r="G13" s="18" t="str">
        <f>IFERROR(__xludf.DUMMYFUNCTION("""COMPUTED_VALUE"""),"miyko")</f>
        <v>miyko</v>
      </c>
      <c r="H13" s="18" t="str">
        <f>IFERROR(__xludf.DUMMYFUNCTION("""COMPUTED_VALUE"""),"many, much, a lot (adjective)")</f>
        <v>many, much, a lot (adjective)</v>
      </c>
      <c r="I13" s="8" t="str">
        <f>IFERROR(__xludf.DUMMYFUNCTION("""COMPUTED_VALUE"""),"мико")</f>
        <v>мико</v>
      </c>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t="str">
        <f>IFERROR(__xludf.DUMMYFUNCTION("""COMPUTED_VALUE"""),"braykat")</f>
        <v>braykat</v>
      </c>
      <c r="H14" s="18" t="str">
        <f>IFERROR(__xludf.DUMMYFUNCTION("""COMPUTED_VALUE"""),"to control, to manipulate")</f>
        <v>to control, to manipulate</v>
      </c>
      <c r="I14" s="8" t="str">
        <f>IFERROR(__xludf.DUMMYFUNCTION("""COMPUTED_VALUE"""),"браикат")</f>
        <v>браикат</v>
      </c>
      <c r="J14" s="10" t="s">
        <v>85</v>
      </c>
      <c r="K14" s="10"/>
      <c r="L14" s="15"/>
      <c r="M14" s="10"/>
      <c r="N14" s="10"/>
      <c r="O14" s="18"/>
      <c r="P14" s="18"/>
      <c r="Q14" s="10"/>
      <c r="R14" s="10"/>
      <c r="S14" s="18"/>
      <c r="T14" s="15"/>
      <c r="U14" s="10"/>
      <c r="V14" s="10"/>
      <c r="W14" s="18"/>
      <c r="X14" s="18"/>
    </row>
    <row r="15">
      <c r="A15" s="10" t="s">
        <v>86</v>
      </c>
      <c r="B15" s="10" t="s">
        <v>87</v>
      </c>
      <c r="C15" s="10" t="s">
        <v>88</v>
      </c>
      <c r="G15" s="18" t="str">
        <f>IFERROR(__xludf.DUMMYFUNCTION("""COMPUTED_VALUE"""),"somyenat")</f>
        <v>somyenat</v>
      </c>
      <c r="H15" s="18" t="str">
        <f>IFERROR(__xludf.DUMMYFUNCTION("""COMPUTED_VALUE"""),"to manufacture, to mechanically create/make")</f>
        <v>to manufacture, to mechanically create/make</v>
      </c>
      <c r="I15" s="8" t="str">
        <f>IFERROR(__xludf.DUMMYFUNCTION("""COMPUTED_VALUE"""),"сомйєнат")</f>
        <v>сомйєнат</v>
      </c>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t="str">
        <f>IFERROR(__xludf.DUMMYFUNCTION("""COMPUTED_VALUE"""),"honava")</f>
        <v>honava</v>
      </c>
      <c r="H16" s="18" t="str">
        <f>IFERROR(__xludf.DUMMYFUNCTION("""COMPUTED_VALUE"""),"woman, female")</f>
        <v>woman, female</v>
      </c>
      <c r="I16" s="8" t="str">
        <f>IFERROR(__xludf.DUMMYFUNCTION("""COMPUTED_VALUE"""),"хонава")</f>
        <v>хонава</v>
      </c>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0" t="s">
        <v>101</v>
      </c>
      <c r="B18" s="10" t="s">
        <v>102</v>
      </c>
      <c r="C18" s="10"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20" t="s">
        <v>107</v>
      </c>
      <c r="B19" s="2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0" t="s">
        <v>122</v>
      </c>
      <c r="B22" s="10" t="s">
        <v>123</v>
      </c>
      <c r="C22" s="10"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0" t="s">
        <v>139</v>
      </c>
      <c r="B25" s="10" t="s">
        <v>140</v>
      </c>
      <c r="C25" s="10"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168</v>
      </c>
      <c r="E30" s="10" t="s">
        <v>26</v>
      </c>
      <c r="F30" s="15" t="s">
        <v>169</v>
      </c>
      <c r="G30" s="18"/>
      <c r="H30" s="18"/>
      <c r="I30" s="8"/>
      <c r="J30" s="27"/>
      <c r="K30" s="29" t="s">
        <v>170</v>
      </c>
      <c r="L30" s="10"/>
      <c r="M30" s="10"/>
      <c r="N30" s="10"/>
      <c r="O30" s="18"/>
      <c r="P30" s="18"/>
      <c r="Q30" s="10"/>
      <c r="R30" s="10"/>
      <c r="S30" s="18"/>
      <c r="T30" s="10"/>
      <c r="U30" s="10"/>
      <c r="V30" s="10"/>
      <c r="W30" s="18"/>
      <c r="X30" s="18"/>
    </row>
    <row r="31">
      <c r="A31" s="15" t="s">
        <v>171</v>
      </c>
      <c r="B31" s="15" t="s">
        <v>172</v>
      </c>
      <c r="C31" s="15" t="s">
        <v>173</v>
      </c>
      <c r="D31" s="15"/>
      <c r="E31" s="12"/>
      <c r="F31" s="12"/>
      <c r="G31" s="18"/>
      <c r="H31" s="18"/>
      <c r="I31" s="8"/>
      <c r="J31" s="27"/>
      <c r="K31" s="30" t="s">
        <v>174</v>
      </c>
      <c r="L31" s="10"/>
      <c r="M31" s="10"/>
      <c r="N31" s="18"/>
      <c r="O31" s="18"/>
      <c r="P31" s="18"/>
      <c r="Q31" s="10"/>
      <c r="R31" s="10"/>
      <c r="S31" s="18"/>
      <c r="T31" s="10"/>
      <c r="U31" s="10"/>
      <c r="V31" s="18"/>
      <c r="W31" s="18"/>
      <c r="X31" s="18"/>
    </row>
    <row r="32">
      <c r="A32" s="15" t="s">
        <v>175</v>
      </c>
      <c r="B32" s="15" t="s">
        <v>176</v>
      </c>
      <c r="C32" s="15" t="s">
        <v>177</v>
      </c>
      <c r="D32" s="31"/>
      <c r="E32" s="31"/>
      <c r="F32" s="31"/>
      <c r="G32" s="18"/>
      <c r="H32" s="18"/>
      <c r="I32" s="8"/>
      <c r="J32" s="27"/>
      <c r="K32" s="32" t="s">
        <v>178</v>
      </c>
      <c r="L32" s="18"/>
      <c r="M32" s="18"/>
      <c r="N32" s="18"/>
      <c r="O32" s="18"/>
      <c r="P32" s="18"/>
      <c r="Q32" s="10"/>
      <c r="R32" s="10"/>
      <c r="S32" s="18"/>
      <c r="T32" s="18"/>
      <c r="U32" s="18"/>
      <c r="V32" s="18"/>
      <c r="W32" s="18"/>
      <c r="X32" s="18"/>
    </row>
    <row r="33">
      <c r="A33" s="15" t="s">
        <v>179</v>
      </c>
      <c r="B33" s="15" t="s">
        <v>180</v>
      </c>
      <c r="C33" s="15" t="s">
        <v>181</v>
      </c>
      <c r="D33" s="10" t="s">
        <v>182</v>
      </c>
      <c r="E33" s="10" t="s">
        <v>183</v>
      </c>
      <c r="F33" s="15" t="s">
        <v>184</v>
      </c>
      <c r="G33" s="18"/>
      <c r="H33" s="18"/>
      <c r="I33" s="8"/>
      <c r="J33" s="27"/>
      <c r="K33" s="30"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0" t="s">
        <v>196</v>
      </c>
      <c r="E35" s="10" t="s">
        <v>197</v>
      </c>
      <c r="F35" s="10"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5" t="s">
        <v>209</v>
      </c>
      <c r="E37" s="15" t="s">
        <v>210</v>
      </c>
      <c r="F37" s="15" t="s">
        <v>211</v>
      </c>
      <c r="G37" s="18"/>
      <c r="H37" s="18"/>
      <c r="I37" s="20"/>
      <c r="J37" s="20"/>
      <c r="K37" s="10"/>
      <c r="L37" s="18"/>
      <c r="M37" s="18"/>
      <c r="N37" s="18"/>
      <c r="O37" s="18"/>
      <c r="P37" s="18"/>
      <c r="Q37" s="20"/>
      <c r="R37" s="20"/>
      <c r="S37" s="10"/>
      <c r="T37" s="18"/>
      <c r="U37" s="18"/>
      <c r="V37" s="18"/>
      <c r="W37" s="18"/>
      <c r="X37" s="18"/>
    </row>
    <row r="38">
      <c r="A38" s="10" t="s">
        <v>212</v>
      </c>
      <c r="B38" s="10" t="s">
        <v>213</v>
      </c>
      <c r="C38" s="10" t="s">
        <v>214</v>
      </c>
      <c r="D38" s="10" t="s">
        <v>215</v>
      </c>
      <c r="E38" s="15" t="s">
        <v>216</v>
      </c>
      <c r="F38" s="18"/>
      <c r="G38" s="18"/>
      <c r="H38" s="18"/>
      <c r="I38" s="10"/>
      <c r="J38" s="10"/>
      <c r="K38" s="18"/>
      <c r="L38" s="18"/>
      <c r="M38" s="18"/>
      <c r="N38" s="18"/>
      <c r="O38" s="18"/>
      <c r="P38" s="18"/>
      <c r="Q38" s="10"/>
      <c r="R38" s="10"/>
      <c r="S38" s="18"/>
      <c r="T38" s="18"/>
      <c r="U38" s="18"/>
      <c r="V38" s="18"/>
      <c r="W38" s="18"/>
      <c r="X38" s="18"/>
    </row>
    <row r="39">
      <c r="A39" s="15" t="s">
        <v>217</v>
      </c>
      <c r="B39" s="15" t="s">
        <v>218</v>
      </c>
      <c r="C39" s="15" t="s">
        <v>219</v>
      </c>
      <c r="D39" s="10" t="s">
        <v>220</v>
      </c>
      <c r="E39" s="34" t="s">
        <v>221</v>
      </c>
      <c r="F39" s="13"/>
      <c r="G39" s="18"/>
      <c r="H39" s="18"/>
      <c r="I39" s="10"/>
      <c r="J39" s="10"/>
      <c r="K39" s="18"/>
      <c r="L39" s="18"/>
      <c r="M39" s="18"/>
      <c r="N39" s="18"/>
      <c r="O39" s="18"/>
      <c r="P39" s="18"/>
      <c r="Q39" s="10"/>
      <c r="R39" s="10"/>
      <c r="S39" s="18"/>
      <c r="T39" s="18"/>
      <c r="U39" s="18"/>
      <c r="V39" s="18"/>
      <c r="W39" s="18"/>
      <c r="X39" s="18"/>
    </row>
    <row r="40">
      <c r="A40" s="15" t="s">
        <v>222</v>
      </c>
      <c r="B40" s="15" t="s">
        <v>223</v>
      </c>
      <c r="C40" s="15" t="s">
        <v>224</v>
      </c>
      <c r="D40" s="10"/>
      <c r="E40" s="10"/>
      <c r="F40" s="18"/>
      <c r="G40" s="18"/>
      <c r="H40" s="18"/>
      <c r="I40" s="10"/>
      <c r="J40" s="10"/>
      <c r="K40" s="18"/>
      <c r="L40" s="18"/>
      <c r="M40" s="18"/>
      <c r="N40" s="18"/>
      <c r="O40" s="18"/>
      <c r="P40" s="18"/>
      <c r="Q40" s="10"/>
      <c r="R40" s="10"/>
      <c r="S40" s="18"/>
      <c r="T40" s="18"/>
      <c r="U40" s="18"/>
      <c r="V40" s="18"/>
      <c r="W40" s="18"/>
      <c r="X40" s="18"/>
    </row>
    <row r="41">
      <c r="A41" s="10" t="s">
        <v>225</v>
      </c>
      <c r="B41" s="10" t="s">
        <v>226</v>
      </c>
      <c r="C41" s="10" t="s">
        <v>227</v>
      </c>
      <c r="D41" s="10"/>
      <c r="E41" s="10"/>
      <c r="F41" s="18"/>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9" t="s">
        <v>231</v>
      </c>
      <c r="E42" s="9" t="s">
        <v>232</v>
      </c>
      <c r="F42" s="9"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0" t="s">
        <v>243</v>
      </c>
      <c r="E44" s="10" t="s">
        <v>244</v>
      </c>
      <c r="F44" s="10" t="s">
        <v>245</v>
      </c>
      <c r="G44" s="18"/>
      <c r="H44" s="18"/>
      <c r="I44" s="10"/>
      <c r="J44" s="10"/>
      <c r="K44" s="18"/>
      <c r="L44" s="18"/>
      <c r="M44" s="18"/>
      <c r="N44" s="18"/>
      <c r="O44" s="18"/>
      <c r="P44" s="18"/>
      <c r="Q44" s="10"/>
      <c r="R44" s="10"/>
      <c r="S44" s="18"/>
      <c r="T44" s="18"/>
      <c r="U44" s="18"/>
      <c r="V44" s="18"/>
      <c r="W44" s="18"/>
      <c r="X44" s="18"/>
    </row>
    <row r="45">
      <c r="A45" s="10" t="s">
        <v>246</v>
      </c>
      <c r="B45" s="10" t="s">
        <v>247</v>
      </c>
      <c r="C45" s="10" t="s">
        <v>248</v>
      </c>
      <c r="D45" s="15" t="s">
        <v>249</v>
      </c>
      <c r="E45" s="15" t="s">
        <v>250</v>
      </c>
      <c r="F45" s="10" t="s">
        <v>251</v>
      </c>
      <c r="G45" s="18"/>
      <c r="H45" s="18"/>
      <c r="I45" s="10"/>
      <c r="J45" s="10"/>
      <c r="K45" s="18"/>
      <c r="L45" s="18"/>
      <c r="M45" s="18"/>
      <c r="N45" s="18"/>
      <c r="O45" s="18"/>
      <c r="P45" s="18"/>
      <c r="Q45" s="10"/>
      <c r="R45" s="10"/>
      <c r="S45" s="18"/>
      <c r="T45" s="18"/>
      <c r="U45" s="18"/>
      <c r="V45" s="18"/>
      <c r="W45" s="18"/>
      <c r="X45" s="18"/>
    </row>
    <row r="46">
      <c r="A46" s="10" t="s">
        <v>252</v>
      </c>
      <c r="B46" s="10" t="s">
        <v>253</v>
      </c>
      <c r="C46" s="10"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5" t="s">
        <v>258</v>
      </c>
      <c r="B47" s="15" t="s">
        <v>259</v>
      </c>
      <c r="C47" s="15"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5" t="s">
        <v>264</v>
      </c>
      <c r="B48" s="15" t="s">
        <v>265</v>
      </c>
      <c r="C48" s="15"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0" t="s">
        <v>270</v>
      </c>
      <c r="B49" s="10" t="s">
        <v>271</v>
      </c>
      <c r="C49" s="10"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285</v>
      </c>
      <c r="E51" s="10" t="s">
        <v>286</v>
      </c>
      <c r="F51" s="10" t="s">
        <v>287</v>
      </c>
      <c r="G51" s="18"/>
      <c r="H51" s="18"/>
      <c r="I51" s="10"/>
      <c r="J51" s="10"/>
      <c r="K51" s="18"/>
      <c r="L51" s="18"/>
      <c r="M51" s="18"/>
      <c r="N51" s="18"/>
      <c r="O51" s="18"/>
      <c r="P51" s="18"/>
      <c r="Q51" s="10"/>
      <c r="R51" s="10"/>
      <c r="S51" s="18"/>
      <c r="T51" s="18"/>
      <c r="U51" s="18"/>
      <c r="V51" s="18"/>
      <c r="W51" s="18"/>
      <c r="X51" s="18"/>
    </row>
    <row r="52">
      <c r="A52" s="15" t="s">
        <v>288</v>
      </c>
      <c r="B52" s="15" t="s">
        <v>289</v>
      </c>
      <c r="C52" s="15" t="s">
        <v>290</v>
      </c>
      <c r="D52" s="10" t="s">
        <v>220</v>
      </c>
      <c r="E52" s="10" t="s">
        <v>291</v>
      </c>
      <c r="F52" s="10" t="s">
        <v>292</v>
      </c>
      <c r="G52" s="18"/>
      <c r="H52" s="18"/>
      <c r="I52" s="10"/>
      <c r="J52" s="10"/>
      <c r="K52" s="18"/>
      <c r="L52" s="18"/>
      <c r="M52" s="18"/>
      <c r="N52" s="18"/>
      <c r="O52" s="18"/>
      <c r="P52" s="18"/>
      <c r="Q52" s="10"/>
      <c r="R52" s="10"/>
      <c r="S52" s="18"/>
      <c r="T52" s="18"/>
      <c r="U52" s="18"/>
      <c r="V52" s="18"/>
      <c r="W52" s="18"/>
      <c r="X52" s="18"/>
    </row>
    <row r="53">
      <c r="A53" s="10" t="s">
        <v>293</v>
      </c>
      <c r="B53" s="10" t="s">
        <v>294</v>
      </c>
      <c r="C53" s="10" t="s">
        <v>295</v>
      </c>
      <c r="D53" s="10" t="s">
        <v>296</v>
      </c>
      <c r="E53" s="10"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5" t="s">
        <v>302</v>
      </c>
      <c r="E54" s="15" t="s">
        <v>303</v>
      </c>
      <c r="F54" s="10" t="s">
        <v>304</v>
      </c>
      <c r="G54" s="18"/>
      <c r="H54" s="18"/>
      <c r="I54" s="10"/>
      <c r="J54" s="10"/>
      <c r="K54" s="18"/>
      <c r="L54" s="18"/>
      <c r="M54" s="18"/>
      <c r="N54" s="18"/>
      <c r="O54" s="18"/>
      <c r="P54" s="18"/>
      <c r="Q54" s="10"/>
      <c r="R54" s="10"/>
      <c r="S54" s="18"/>
      <c r="T54" s="18"/>
      <c r="U54" s="18"/>
      <c r="V54" s="18"/>
      <c r="W54" s="18"/>
      <c r="X54" s="18"/>
    </row>
    <row r="55">
      <c r="A55" s="10" t="s">
        <v>305</v>
      </c>
      <c r="B55" s="10" t="s">
        <v>306</v>
      </c>
      <c r="C55" s="10"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0" t="s">
        <v>328</v>
      </c>
      <c r="G58" s="18"/>
      <c r="H58" s="18"/>
      <c r="I58" s="10"/>
      <c r="J58" s="10"/>
      <c r="K58" s="18"/>
      <c r="L58" s="18"/>
      <c r="M58" s="18"/>
      <c r="N58" s="18"/>
      <c r="O58" s="18"/>
      <c r="P58" s="18"/>
      <c r="Q58" s="10"/>
      <c r="R58" s="10"/>
      <c r="S58" s="18"/>
      <c r="T58" s="18"/>
      <c r="U58" s="18"/>
      <c r="V58" s="18"/>
      <c r="W58" s="18"/>
      <c r="X58" s="18"/>
    </row>
    <row r="59">
      <c r="A59" s="10" t="s">
        <v>329</v>
      </c>
      <c r="B59" s="10" t="s">
        <v>330</v>
      </c>
      <c r="C59" s="10" t="s">
        <v>331</v>
      </c>
      <c r="D59" s="10" t="s">
        <v>332</v>
      </c>
      <c r="E59" s="10" t="s">
        <v>333</v>
      </c>
      <c r="F59" s="18"/>
      <c r="G59" s="18"/>
      <c r="H59" s="18"/>
      <c r="I59" s="10"/>
      <c r="J59" s="10"/>
      <c r="K59" s="18"/>
      <c r="L59" s="18"/>
      <c r="M59" s="18"/>
      <c r="N59" s="18"/>
      <c r="O59" s="18"/>
      <c r="P59" s="18"/>
      <c r="Q59" s="10"/>
      <c r="R59" s="10"/>
      <c r="S59" s="18"/>
      <c r="T59" s="18"/>
      <c r="U59" s="18"/>
      <c r="V59" s="18"/>
      <c r="W59" s="18"/>
      <c r="X59" s="18"/>
    </row>
    <row r="60">
      <c r="A60" s="10" t="s">
        <v>334</v>
      </c>
      <c r="B60" s="10" t="s">
        <v>335</v>
      </c>
      <c r="C60" s="10" t="s">
        <v>336</v>
      </c>
      <c r="D60" s="10" t="s">
        <v>209</v>
      </c>
      <c r="E60" s="10" t="s">
        <v>337</v>
      </c>
      <c r="F60" s="18"/>
      <c r="G60" s="18"/>
      <c r="H60" s="18"/>
      <c r="I60" s="10"/>
      <c r="J60" s="10"/>
      <c r="K60" s="18"/>
      <c r="L60" s="18"/>
      <c r="M60" s="18"/>
      <c r="N60" s="18"/>
      <c r="O60" s="18"/>
      <c r="P60" s="18"/>
      <c r="Q60" s="10"/>
      <c r="R60" s="10"/>
      <c r="S60" s="18"/>
      <c r="T60" s="18"/>
      <c r="U60" s="18"/>
      <c r="V60" s="18"/>
      <c r="W60" s="18"/>
      <c r="X60" s="18"/>
    </row>
    <row r="61">
      <c r="A61" s="10" t="s">
        <v>338</v>
      </c>
      <c r="B61" s="10" t="s">
        <v>339</v>
      </c>
      <c r="C61" s="10" t="s">
        <v>340</v>
      </c>
      <c r="D61" s="10" t="s">
        <v>341</v>
      </c>
      <c r="E61" s="10" t="s">
        <v>342</v>
      </c>
      <c r="F61" s="18"/>
      <c r="G61" s="18"/>
      <c r="H61" s="18"/>
      <c r="I61" s="10"/>
      <c r="J61" s="10"/>
      <c r="K61" s="18"/>
      <c r="L61" s="18"/>
      <c r="M61" s="18"/>
      <c r="N61" s="18"/>
      <c r="O61" s="18"/>
      <c r="P61" s="18"/>
      <c r="Q61" s="10"/>
      <c r="R61" s="10"/>
      <c r="S61" s="18"/>
      <c r="T61" s="18"/>
      <c r="U61" s="18"/>
      <c r="V61" s="18"/>
      <c r="W61" s="18"/>
      <c r="X61" s="18"/>
    </row>
    <row r="62">
      <c r="A62" s="15" t="s">
        <v>343</v>
      </c>
      <c r="B62" s="15" t="s">
        <v>344</v>
      </c>
      <c r="C62" s="15" t="s">
        <v>345</v>
      </c>
      <c r="D62" s="15" t="s">
        <v>346</v>
      </c>
      <c r="E62" s="15" t="s">
        <v>347</v>
      </c>
      <c r="F62" s="18"/>
      <c r="G62" s="18"/>
      <c r="H62" s="18"/>
      <c r="I62" s="10"/>
      <c r="J62" s="10"/>
      <c r="K62" s="18"/>
      <c r="L62" s="18"/>
      <c r="M62" s="18"/>
      <c r="N62" s="18"/>
      <c r="O62" s="18"/>
      <c r="P62" s="18"/>
      <c r="Q62" s="10"/>
      <c r="R62" s="10"/>
      <c r="S62" s="18"/>
      <c r="T62" s="18"/>
      <c r="U62" s="18"/>
      <c r="V62" s="18"/>
      <c r="W62" s="18"/>
      <c r="X62" s="18"/>
    </row>
    <row r="63">
      <c r="A63" s="10" t="s">
        <v>348</v>
      </c>
      <c r="B63" s="10" t="s">
        <v>349</v>
      </c>
      <c r="C63" s="10" t="s">
        <v>350</v>
      </c>
      <c r="D63" s="10" t="s">
        <v>351</v>
      </c>
      <c r="E63" s="10" t="s">
        <v>352</v>
      </c>
      <c r="F63" s="18"/>
      <c r="G63" s="18"/>
      <c r="H63" s="18"/>
      <c r="I63" s="10"/>
      <c r="J63" s="10"/>
      <c r="K63" s="18"/>
      <c r="L63" s="18"/>
      <c r="M63" s="18"/>
      <c r="N63" s="18"/>
      <c r="O63" s="18"/>
      <c r="P63" s="18"/>
      <c r="Q63" s="10"/>
      <c r="R63" s="10"/>
      <c r="S63" s="18"/>
      <c r="T63" s="18"/>
      <c r="U63" s="18"/>
      <c r="V63" s="18"/>
      <c r="W63" s="18"/>
      <c r="X63" s="18"/>
    </row>
    <row r="64">
      <c r="A64" s="10" t="s">
        <v>353</v>
      </c>
      <c r="B64" s="10" t="s">
        <v>354</v>
      </c>
      <c r="C64" s="10" t="s">
        <v>355</v>
      </c>
      <c r="D64" s="15" t="s">
        <v>356</v>
      </c>
      <c r="E64" s="15" t="s">
        <v>357</v>
      </c>
      <c r="G64" s="18"/>
      <c r="H64" s="18"/>
      <c r="I64" s="10"/>
      <c r="J64" s="10"/>
      <c r="K64" s="18"/>
      <c r="L64" s="18"/>
      <c r="M64" s="18"/>
      <c r="N64" s="18"/>
      <c r="O64" s="18"/>
      <c r="P64" s="18"/>
      <c r="Q64" s="10"/>
      <c r="R64" s="10"/>
      <c r="S64" s="18"/>
      <c r="T64" s="18"/>
      <c r="U64" s="18"/>
      <c r="V64" s="18"/>
      <c r="W64" s="18"/>
      <c r="X64" s="18"/>
    </row>
    <row r="65">
      <c r="A65" s="10" t="s">
        <v>358</v>
      </c>
      <c r="B65" s="10" t="s">
        <v>359</v>
      </c>
      <c r="C65" s="10" t="s">
        <v>360</v>
      </c>
      <c r="D65" s="10" t="s">
        <v>182</v>
      </c>
      <c r="E65" s="10" t="s">
        <v>361</v>
      </c>
      <c r="F65" s="18"/>
      <c r="G65" s="18"/>
      <c r="H65" s="18"/>
      <c r="I65" s="10"/>
      <c r="J65" s="10"/>
      <c r="K65" s="18"/>
      <c r="L65" s="18"/>
      <c r="M65" s="18"/>
      <c r="N65" s="18"/>
      <c r="O65" s="18"/>
      <c r="P65" s="18"/>
      <c r="Q65" s="10"/>
      <c r="R65" s="10"/>
      <c r="S65" s="18"/>
      <c r="T65" s="18"/>
      <c r="U65" s="18"/>
      <c r="V65" s="18"/>
      <c r="W65" s="18"/>
      <c r="X65" s="18"/>
    </row>
    <row r="66">
      <c r="A66" s="10" t="s">
        <v>362</v>
      </c>
      <c r="B66" s="10" t="s">
        <v>363</v>
      </c>
      <c r="C66" s="10"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0" t="s">
        <v>371</v>
      </c>
      <c r="E67" s="10"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5" t="s">
        <v>383</v>
      </c>
      <c r="E69" s="15"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0"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D72" s="18" t="s">
        <v>401</v>
      </c>
      <c r="E72" s="10" t="s">
        <v>402</v>
      </c>
      <c r="F72" s="10" t="s">
        <v>403</v>
      </c>
      <c r="G72" s="18"/>
      <c r="H72" s="18"/>
      <c r="I72" s="10"/>
      <c r="J72" s="10"/>
      <c r="K72" s="10"/>
      <c r="L72" s="18"/>
      <c r="M72" s="18"/>
      <c r="N72" s="18"/>
      <c r="O72" s="18"/>
      <c r="P72" s="18"/>
      <c r="Q72" s="10"/>
      <c r="R72" s="10"/>
      <c r="S72" s="10"/>
      <c r="T72" s="18"/>
      <c r="U72" s="18"/>
      <c r="V72" s="18"/>
      <c r="W72" s="18"/>
      <c r="X72" s="18"/>
    </row>
    <row r="73">
      <c r="A73" s="10" t="s">
        <v>404</v>
      </c>
      <c r="B73" s="10" t="s">
        <v>405</v>
      </c>
      <c r="C73" s="10" t="s">
        <v>406</v>
      </c>
      <c r="G73" s="18"/>
      <c r="H73" s="18"/>
      <c r="I73" s="10"/>
      <c r="J73" s="10"/>
      <c r="K73" s="18"/>
      <c r="L73" s="18"/>
      <c r="M73" s="18"/>
      <c r="N73" s="18"/>
      <c r="O73" s="18"/>
      <c r="P73" s="18"/>
      <c r="Q73" s="10"/>
      <c r="R73" s="10"/>
      <c r="S73" s="18"/>
      <c r="T73" s="18"/>
      <c r="U73" s="18"/>
      <c r="V73" s="18"/>
      <c r="W73" s="18"/>
      <c r="X73" s="18"/>
    </row>
    <row r="74">
      <c r="A74" s="15" t="s">
        <v>407</v>
      </c>
      <c r="B74" s="15" t="s">
        <v>408</v>
      </c>
      <c r="C74" s="15" t="s">
        <v>409</v>
      </c>
      <c r="D74" s="18"/>
      <c r="E74" s="18"/>
      <c r="F74" s="18"/>
      <c r="G74" s="18"/>
      <c r="H74" s="18"/>
      <c r="I74" s="10"/>
      <c r="J74" s="10"/>
      <c r="K74" s="18"/>
      <c r="L74" s="18"/>
      <c r="M74" s="18"/>
      <c r="N74" s="18"/>
      <c r="O74" s="18"/>
      <c r="P74" s="18"/>
      <c r="Q74" s="10"/>
      <c r="R74" s="10"/>
      <c r="S74" s="18"/>
      <c r="T74" s="18"/>
      <c r="U74" s="18"/>
      <c r="V74" s="18"/>
      <c r="W74" s="18"/>
      <c r="X74" s="18"/>
    </row>
    <row r="75">
      <c r="A75" s="15" t="s">
        <v>410</v>
      </c>
      <c r="B75" s="15" t="s">
        <v>411</v>
      </c>
      <c r="C75" s="15" t="s">
        <v>412</v>
      </c>
      <c r="D75" s="18"/>
      <c r="E75" s="18"/>
      <c r="F75" s="18"/>
      <c r="G75" s="18"/>
      <c r="H75" s="18"/>
      <c r="I75" s="10"/>
      <c r="J75" s="10"/>
      <c r="K75" s="18"/>
      <c r="L75" s="18"/>
      <c r="M75" s="18"/>
      <c r="N75" s="18"/>
      <c r="O75" s="18"/>
      <c r="P75" s="18"/>
      <c r="Q75" s="10"/>
      <c r="R75" s="10"/>
      <c r="S75" s="18"/>
      <c r="T75" s="18"/>
      <c r="U75" s="18"/>
      <c r="V75" s="18"/>
      <c r="W75" s="18"/>
      <c r="X75" s="18"/>
    </row>
    <row r="76">
      <c r="A76" s="15" t="s">
        <v>413</v>
      </c>
      <c r="B76" s="15" t="s">
        <v>414</v>
      </c>
      <c r="C76" s="15" t="s">
        <v>415</v>
      </c>
      <c r="D76" s="18"/>
      <c r="E76" s="18"/>
      <c r="F76" s="18"/>
      <c r="G76" s="18"/>
      <c r="H76" s="18"/>
      <c r="I76" s="10"/>
      <c r="J76" s="10"/>
      <c r="K76" s="18"/>
      <c r="L76" s="18"/>
      <c r="M76" s="18"/>
      <c r="N76" s="18"/>
      <c r="O76" s="18"/>
      <c r="P76" s="18"/>
      <c r="Q76" s="10"/>
      <c r="R76" s="10"/>
      <c r="S76" s="18"/>
      <c r="T76" s="18"/>
      <c r="U76" s="18"/>
      <c r="V76" s="18"/>
      <c r="W76" s="18"/>
      <c r="X76" s="18"/>
    </row>
    <row r="77">
      <c r="A77" s="15" t="s">
        <v>416</v>
      </c>
      <c r="B77" s="15" t="s">
        <v>417</v>
      </c>
      <c r="C77" s="15" t="s">
        <v>418</v>
      </c>
      <c r="D77" s="18"/>
      <c r="E77" s="18"/>
      <c r="F77" s="18"/>
      <c r="G77" s="18"/>
      <c r="H77" s="18"/>
      <c r="I77" s="10"/>
      <c r="J77" s="10"/>
      <c r="K77" s="18"/>
      <c r="L77" s="18"/>
      <c r="M77" s="18"/>
      <c r="N77" s="18"/>
      <c r="O77" s="18"/>
      <c r="P77" s="18"/>
      <c r="Q77" s="10"/>
      <c r="R77" s="10"/>
      <c r="S77" s="18"/>
      <c r="T77" s="18"/>
      <c r="U77" s="18"/>
      <c r="V77" s="18"/>
      <c r="W77" s="18"/>
      <c r="X77" s="18"/>
    </row>
    <row r="78">
      <c r="A78" s="15" t="s">
        <v>419</v>
      </c>
      <c r="B78" s="15" t="s">
        <v>420</v>
      </c>
      <c r="C78" s="15" t="s">
        <v>421</v>
      </c>
      <c r="D78" s="18"/>
      <c r="E78" s="18"/>
      <c r="F78" s="18"/>
      <c r="G78" s="18"/>
      <c r="H78" s="18"/>
      <c r="I78" s="10"/>
      <c r="J78" s="10"/>
      <c r="K78" s="18"/>
      <c r="L78" s="18"/>
      <c r="M78" s="18"/>
      <c r="N78" s="18"/>
      <c r="O78" s="18"/>
      <c r="P78" s="18"/>
      <c r="Q78" s="10"/>
      <c r="R78" s="10"/>
      <c r="S78" s="18"/>
      <c r="T78" s="18"/>
      <c r="U78" s="18"/>
      <c r="V78" s="18"/>
      <c r="W78" s="18"/>
      <c r="X78" s="18"/>
    </row>
    <row r="79">
      <c r="A79" s="15" t="s">
        <v>422</v>
      </c>
      <c r="B79" s="15" t="s">
        <v>423</v>
      </c>
      <c r="C79" s="15" t="s">
        <v>424</v>
      </c>
      <c r="D79" s="18"/>
      <c r="E79" s="18"/>
      <c r="F79" s="18"/>
      <c r="G79" s="18"/>
      <c r="H79" s="18"/>
      <c r="I79" s="10"/>
      <c r="J79" s="10"/>
      <c r="K79" s="18"/>
      <c r="L79" s="18"/>
      <c r="M79" s="18"/>
      <c r="N79" s="18"/>
      <c r="O79" s="18"/>
      <c r="P79" s="18"/>
      <c r="Q79" s="10"/>
      <c r="R79" s="10"/>
      <c r="S79" s="18"/>
      <c r="T79" s="18"/>
      <c r="U79" s="18"/>
      <c r="V79" s="18"/>
      <c r="W79" s="18"/>
      <c r="X79" s="18"/>
    </row>
    <row r="80">
      <c r="A80" s="15" t="s">
        <v>425</v>
      </c>
      <c r="B80" s="15" t="s">
        <v>426</v>
      </c>
      <c r="C80" s="15" t="s">
        <v>427</v>
      </c>
      <c r="D80" s="18"/>
      <c r="E80" s="18"/>
      <c r="F80" s="18"/>
      <c r="G80" s="18"/>
      <c r="H80" s="18"/>
      <c r="I80" s="10"/>
      <c r="J80" s="10"/>
      <c r="K80" s="18"/>
      <c r="L80" s="18"/>
      <c r="M80" s="18"/>
      <c r="N80" s="18"/>
      <c r="O80" s="18"/>
      <c r="P80" s="18"/>
      <c r="Q80" s="10"/>
      <c r="R80" s="10"/>
      <c r="S80" s="18"/>
      <c r="T80" s="18"/>
      <c r="U80" s="18"/>
      <c r="V80" s="18"/>
      <c r="W80" s="18"/>
      <c r="X80" s="18"/>
    </row>
    <row r="81">
      <c r="A81" s="15" t="s">
        <v>428</v>
      </c>
      <c r="B81" s="15" t="s">
        <v>429</v>
      </c>
      <c r="C81" s="15" t="s">
        <v>430</v>
      </c>
      <c r="D81" s="18"/>
      <c r="E81" s="18"/>
      <c r="F81" s="18"/>
      <c r="G81" s="18"/>
      <c r="H81" s="18"/>
      <c r="I81" s="10"/>
      <c r="J81" s="10"/>
      <c r="K81" s="18"/>
      <c r="L81" s="18"/>
      <c r="M81" s="18"/>
      <c r="N81" s="18"/>
      <c r="O81" s="18"/>
      <c r="P81" s="18"/>
      <c r="Q81" s="10"/>
      <c r="R81" s="10"/>
      <c r="S81" s="18"/>
      <c r="T81" s="18"/>
      <c r="U81" s="18"/>
      <c r="V81" s="18"/>
      <c r="W81" s="18"/>
      <c r="X81" s="18"/>
    </row>
    <row r="82">
      <c r="A82" s="15" t="s">
        <v>431</v>
      </c>
      <c r="B82" s="15" t="s">
        <v>432</v>
      </c>
      <c r="C82" s="15" t="s">
        <v>433</v>
      </c>
      <c r="D82" s="18"/>
      <c r="E82" s="18"/>
      <c r="F82" s="18"/>
      <c r="G82" s="18"/>
      <c r="H82" s="18"/>
      <c r="I82" s="10"/>
      <c r="J82" s="10"/>
      <c r="K82" s="18"/>
      <c r="L82" s="18"/>
      <c r="M82" s="18"/>
      <c r="N82" s="18"/>
      <c r="O82" s="18"/>
      <c r="P82" s="18"/>
      <c r="Q82" s="10"/>
      <c r="R82" s="10"/>
      <c r="S82" s="18"/>
      <c r="T82" s="18"/>
      <c r="U82" s="18"/>
      <c r="V82" s="18"/>
      <c r="W82" s="18"/>
      <c r="X82" s="18"/>
    </row>
    <row r="83">
      <c r="A83" s="15" t="s">
        <v>434</v>
      </c>
      <c r="B83" s="15" t="s">
        <v>435</v>
      </c>
      <c r="C83" s="15" t="s">
        <v>436</v>
      </c>
      <c r="D83" s="18"/>
      <c r="E83" s="18"/>
      <c r="F83" s="18"/>
      <c r="G83" s="18"/>
      <c r="H83" s="18"/>
      <c r="I83" s="10"/>
      <c r="J83" s="10"/>
      <c r="K83" s="18"/>
      <c r="L83" s="18"/>
      <c r="M83" s="18"/>
      <c r="N83" s="18"/>
      <c r="O83" s="18"/>
      <c r="P83" s="18"/>
      <c r="Q83" s="10"/>
      <c r="R83" s="10"/>
      <c r="S83" s="18"/>
      <c r="T83" s="18"/>
      <c r="U83" s="18"/>
      <c r="V83" s="18"/>
      <c r="W83" s="18"/>
      <c r="X83" s="18"/>
    </row>
    <row r="84">
      <c r="A84" s="15" t="s">
        <v>437</v>
      </c>
      <c r="B84" s="15" t="s">
        <v>438</v>
      </c>
      <c r="C84" s="15" t="s">
        <v>439</v>
      </c>
      <c r="D84" s="18"/>
      <c r="E84" s="18"/>
      <c r="F84" s="18"/>
      <c r="G84" s="18"/>
      <c r="H84" s="18"/>
      <c r="I84" s="10"/>
      <c r="J84" s="10"/>
      <c r="K84" s="18"/>
      <c r="L84" s="18"/>
      <c r="M84" s="18"/>
      <c r="N84" s="18"/>
      <c r="O84" s="18"/>
      <c r="P84" s="18"/>
      <c r="Q84" s="10"/>
      <c r="R84" s="10"/>
      <c r="S84" s="18"/>
      <c r="T84" s="18"/>
      <c r="U84" s="18"/>
      <c r="V84" s="18"/>
      <c r="W84" s="18"/>
      <c r="X84" s="18"/>
    </row>
    <row r="85">
      <c r="A85" s="15" t="s">
        <v>440</v>
      </c>
      <c r="B85" s="15" t="s">
        <v>441</v>
      </c>
      <c r="C85" s="15" t="s">
        <v>442</v>
      </c>
      <c r="D85" s="18"/>
      <c r="E85" s="18"/>
      <c r="F85" s="18"/>
      <c r="G85" s="18"/>
      <c r="H85" s="18"/>
      <c r="I85" s="20"/>
      <c r="J85" s="20"/>
      <c r="K85" s="18"/>
      <c r="L85" s="18"/>
      <c r="M85" s="18"/>
      <c r="N85" s="18"/>
      <c r="O85" s="18"/>
      <c r="P85" s="18"/>
      <c r="Q85" s="20"/>
      <c r="R85" s="20"/>
      <c r="S85" s="18"/>
      <c r="T85" s="18"/>
      <c r="U85" s="18"/>
      <c r="V85" s="18"/>
      <c r="W85" s="18"/>
      <c r="X85" s="18"/>
    </row>
    <row r="86">
      <c r="A86" s="15" t="s">
        <v>443</v>
      </c>
      <c r="B86" s="15" t="s">
        <v>444</v>
      </c>
      <c r="C86" s="15" t="s">
        <v>445</v>
      </c>
      <c r="D86" s="18"/>
      <c r="E86" s="18"/>
      <c r="F86" s="18"/>
      <c r="G86" s="18"/>
      <c r="H86" s="18"/>
      <c r="I86" s="10"/>
      <c r="J86" s="10"/>
      <c r="K86" s="18"/>
      <c r="L86" s="18"/>
      <c r="M86" s="18"/>
      <c r="N86" s="18"/>
      <c r="O86" s="18"/>
      <c r="P86" s="18"/>
      <c r="Q86" s="10"/>
      <c r="R86" s="10"/>
      <c r="S86" s="18"/>
      <c r="T86" s="18"/>
      <c r="U86" s="18"/>
      <c r="V86" s="18"/>
      <c r="W86" s="18"/>
      <c r="X86" s="18"/>
    </row>
    <row r="87">
      <c r="A87" s="10" t="s">
        <v>446</v>
      </c>
      <c r="B87" s="10" t="s">
        <v>447</v>
      </c>
      <c r="C87" s="10" t="s">
        <v>448</v>
      </c>
      <c r="D87" s="18"/>
      <c r="E87" s="18"/>
      <c r="F87" s="18"/>
      <c r="G87" s="18"/>
      <c r="H87" s="18"/>
      <c r="I87" s="10"/>
      <c r="J87" s="10"/>
      <c r="K87" s="18"/>
      <c r="L87" s="18"/>
      <c r="M87" s="18"/>
      <c r="N87" s="18"/>
      <c r="O87" s="18"/>
      <c r="P87" s="18"/>
      <c r="Q87" s="10"/>
      <c r="R87" s="10"/>
      <c r="S87" s="18"/>
      <c r="T87" s="18"/>
      <c r="U87" s="18"/>
      <c r="V87" s="18"/>
      <c r="W87" s="18"/>
      <c r="X87" s="18"/>
    </row>
    <row r="88">
      <c r="A88" s="15" t="s">
        <v>449</v>
      </c>
      <c r="B88" s="15" t="s">
        <v>450</v>
      </c>
      <c r="C88" s="15" t="s">
        <v>451</v>
      </c>
      <c r="D88" s="18"/>
      <c r="E88" s="18"/>
      <c r="F88" s="18"/>
      <c r="G88" s="18"/>
      <c r="H88" s="18"/>
      <c r="I88" s="10"/>
      <c r="J88" s="10"/>
      <c r="K88" s="10"/>
      <c r="L88" s="18"/>
      <c r="M88" s="18"/>
      <c r="N88" s="18"/>
      <c r="O88" s="18"/>
      <c r="P88" s="18"/>
      <c r="Q88" s="10"/>
      <c r="R88" s="10"/>
      <c r="S88" s="10"/>
      <c r="T88" s="18"/>
      <c r="U88" s="18"/>
      <c r="V88" s="18"/>
      <c r="W88" s="18"/>
      <c r="X88" s="18"/>
    </row>
    <row r="89">
      <c r="A89" s="15" t="s">
        <v>452</v>
      </c>
      <c r="B89" s="15" t="s">
        <v>453</v>
      </c>
      <c r="C89" s="15" t="s">
        <v>454</v>
      </c>
      <c r="D89" s="18"/>
      <c r="E89" s="18"/>
      <c r="F89" s="18"/>
      <c r="G89" s="18"/>
      <c r="H89" s="18"/>
      <c r="I89" s="10"/>
      <c r="J89" s="15"/>
      <c r="K89" s="18"/>
      <c r="L89" s="18"/>
      <c r="M89" s="18"/>
      <c r="N89" s="18"/>
      <c r="O89" s="18"/>
      <c r="P89" s="18"/>
      <c r="Q89" s="10"/>
      <c r="R89" s="15"/>
      <c r="S89" s="18"/>
      <c r="T89" s="18"/>
      <c r="U89" s="18"/>
      <c r="V89" s="18"/>
      <c r="W89" s="18"/>
      <c r="X89" s="18"/>
    </row>
    <row r="90">
      <c r="A90" s="15" t="s">
        <v>455</v>
      </c>
      <c r="B90" s="15" t="s">
        <v>456</v>
      </c>
      <c r="C90" s="15" t="s">
        <v>457</v>
      </c>
      <c r="D90" s="18"/>
      <c r="E90" s="18"/>
      <c r="F90" s="18"/>
      <c r="G90" s="18"/>
      <c r="H90" s="18"/>
      <c r="I90" s="10"/>
      <c r="J90" s="10"/>
      <c r="K90" s="18"/>
      <c r="L90" s="18"/>
      <c r="M90" s="18"/>
      <c r="N90" s="18"/>
      <c r="O90" s="18"/>
      <c r="P90" s="18"/>
      <c r="Q90" s="10"/>
      <c r="R90" s="10"/>
      <c r="S90" s="18"/>
      <c r="T90" s="18"/>
      <c r="U90" s="18"/>
      <c r="V90" s="18"/>
      <c r="W90" s="18"/>
      <c r="X90" s="18"/>
    </row>
    <row r="91">
      <c r="A91" s="10" t="s">
        <v>458</v>
      </c>
      <c r="B91" s="10" t="s">
        <v>459</v>
      </c>
      <c r="C91" s="10" t="s">
        <v>460</v>
      </c>
      <c r="D91" s="18"/>
      <c r="E91" s="18"/>
      <c r="F91" s="18"/>
      <c r="G91" s="18"/>
      <c r="H91" s="18"/>
      <c r="I91" s="10"/>
      <c r="J91" s="10"/>
      <c r="K91" s="18"/>
      <c r="L91" s="18"/>
      <c r="M91" s="18"/>
      <c r="N91" s="18"/>
      <c r="O91" s="18"/>
      <c r="P91" s="18"/>
      <c r="Q91" s="10"/>
      <c r="R91" s="10"/>
      <c r="S91" s="18"/>
      <c r="T91" s="18"/>
      <c r="U91" s="18"/>
      <c r="V91" s="18"/>
      <c r="W91" s="18"/>
      <c r="X91" s="18"/>
    </row>
    <row r="92">
      <c r="A92" s="15" t="s">
        <v>461</v>
      </c>
      <c r="B92" s="15" t="s">
        <v>462</v>
      </c>
      <c r="C92" s="15" t="s">
        <v>463</v>
      </c>
      <c r="D92" s="18"/>
      <c r="E92" s="18"/>
      <c r="F92" s="18"/>
      <c r="G92" s="18"/>
      <c r="H92" s="18"/>
      <c r="I92" s="10"/>
      <c r="J92" s="10"/>
      <c r="K92" s="10"/>
      <c r="L92" s="18"/>
      <c r="M92" s="18"/>
      <c r="N92" s="18"/>
      <c r="O92" s="18"/>
      <c r="P92" s="18"/>
      <c r="Q92" s="10"/>
      <c r="R92" s="10"/>
      <c r="S92" s="10"/>
      <c r="T92" s="18"/>
      <c r="U92" s="18"/>
      <c r="V92" s="18"/>
      <c r="W92" s="18"/>
      <c r="X92" s="18"/>
    </row>
    <row r="93">
      <c r="A93" s="15" t="s">
        <v>464</v>
      </c>
      <c r="B93" s="15" t="s">
        <v>465</v>
      </c>
      <c r="C93" s="15" t="s">
        <v>466</v>
      </c>
      <c r="D93" s="18"/>
      <c r="E93" s="18"/>
      <c r="F93" s="18"/>
      <c r="G93" s="18"/>
      <c r="H93" s="18"/>
      <c r="I93" s="10"/>
      <c r="J93" s="10"/>
      <c r="K93" s="18"/>
      <c r="L93" s="18"/>
      <c r="M93" s="18"/>
      <c r="N93" s="18"/>
      <c r="O93" s="18"/>
      <c r="P93" s="18"/>
      <c r="Q93" s="10"/>
      <c r="R93" s="10"/>
      <c r="S93" s="18"/>
      <c r="T93" s="18"/>
      <c r="U93" s="18"/>
      <c r="V93" s="18"/>
      <c r="W93" s="18"/>
      <c r="X93" s="18"/>
    </row>
    <row r="94">
      <c r="A94" s="10" t="s">
        <v>467</v>
      </c>
      <c r="B94" s="10" t="s">
        <v>468</v>
      </c>
      <c r="C94" s="10" t="s">
        <v>469</v>
      </c>
      <c r="D94" s="18"/>
      <c r="E94" s="18"/>
      <c r="F94" s="18"/>
      <c r="G94" s="18"/>
      <c r="H94" s="18"/>
      <c r="I94" s="10"/>
      <c r="J94" s="10"/>
      <c r="K94" s="18"/>
      <c r="L94" s="18"/>
      <c r="M94" s="18"/>
      <c r="N94" s="18"/>
      <c r="O94" s="18"/>
      <c r="P94" s="18"/>
      <c r="Q94" s="10"/>
      <c r="R94" s="10"/>
      <c r="S94" s="18"/>
      <c r="T94" s="18"/>
      <c r="U94" s="18"/>
      <c r="V94" s="18"/>
      <c r="W94" s="18"/>
      <c r="X94" s="18"/>
    </row>
    <row r="95">
      <c r="A95" s="10" t="s">
        <v>470</v>
      </c>
      <c r="B95" s="10" t="s">
        <v>471</v>
      </c>
      <c r="C95" s="10" t="s">
        <v>472</v>
      </c>
      <c r="D95" s="18"/>
      <c r="E95" s="18"/>
      <c r="F95" s="18"/>
      <c r="G95" s="18"/>
      <c r="H95" s="18"/>
      <c r="I95" s="20"/>
      <c r="J95" s="20"/>
      <c r="K95" s="18"/>
      <c r="L95" s="18"/>
      <c r="M95" s="18"/>
      <c r="N95" s="18"/>
      <c r="O95" s="18"/>
      <c r="P95" s="18"/>
      <c r="Q95" s="20"/>
      <c r="R95" s="20"/>
      <c r="S95" s="18"/>
      <c r="T95" s="18"/>
      <c r="U95" s="18"/>
      <c r="V95" s="18"/>
      <c r="W95" s="18"/>
      <c r="X95" s="18"/>
    </row>
    <row r="96">
      <c r="A96" s="10" t="s">
        <v>473</v>
      </c>
      <c r="B96" s="10" t="s">
        <v>474</v>
      </c>
      <c r="C96" s="10" t="s">
        <v>475</v>
      </c>
      <c r="D96" s="18"/>
      <c r="E96" s="18"/>
      <c r="F96" s="18"/>
      <c r="G96" s="18"/>
      <c r="H96" s="18"/>
      <c r="I96" s="10"/>
      <c r="J96" s="10"/>
      <c r="K96" s="18"/>
      <c r="L96" s="18"/>
      <c r="M96" s="18"/>
      <c r="N96" s="18"/>
      <c r="O96" s="18"/>
      <c r="P96" s="18"/>
      <c r="Q96" s="10"/>
      <c r="R96" s="10"/>
      <c r="S96" s="18"/>
      <c r="T96" s="18"/>
      <c r="U96" s="18"/>
      <c r="V96" s="18"/>
      <c r="W96" s="18"/>
      <c r="X96" s="18"/>
    </row>
    <row r="97">
      <c r="A97" s="10" t="s">
        <v>476</v>
      </c>
      <c r="B97" s="10" t="s">
        <v>477</v>
      </c>
      <c r="C97" s="10" t="s">
        <v>478</v>
      </c>
      <c r="D97" s="18"/>
      <c r="E97" s="18"/>
      <c r="F97" s="18"/>
      <c r="G97" s="18"/>
      <c r="H97" s="18"/>
      <c r="I97" s="10"/>
      <c r="J97" s="10"/>
      <c r="K97" s="18"/>
      <c r="L97" s="18"/>
      <c r="M97" s="18"/>
      <c r="N97" s="18"/>
      <c r="O97" s="18"/>
      <c r="P97" s="18"/>
      <c r="Q97" s="10"/>
      <c r="R97" s="10"/>
      <c r="S97" s="18"/>
      <c r="T97" s="18"/>
      <c r="U97" s="18"/>
      <c r="V97" s="18"/>
      <c r="W97" s="18"/>
      <c r="X97" s="18"/>
    </row>
    <row r="98">
      <c r="A98" s="15" t="s">
        <v>479</v>
      </c>
      <c r="B98" s="15" t="s">
        <v>480</v>
      </c>
      <c r="C98" s="15" t="s">
        <v>481</v>
      </c>
      <c r="D98" s="18"/>
      <c r="E98" s="18"/>
      <c r="F98" s="18"/>
      <c r="G98" s="18"/>
      <c r="H98" s="18"/>
      <c r="I98" s="10"/>
      <c r="J98" s="10"/>
      <c r="K98" s="18"/>
      <c r="L98" s="18"/>
      <c r="M98" s="18"/>
      <c r="N98" s="18"/>
      <c r="O98" s="18"/>
      <c r="P98" s="18"/>
      <c r="Q98" s="10"/>
      <c r="R98" s="10"/>
      <c r="S98" s="18"/>
      <c r="T98" s="18"/>
      <c r="U98" s="18"/>
      <c r="V98" s="18"/>
      <c r="W98" s="18"/>
      <c r="X98" s="18"/>
    </row>
    <row r="99">
      <c r="A99" s="10" t="s">
        <v>482</v>
      </c>
      <c r="B99" s="10" t="s">
        <v>483</v>
      </c>
      <c r="C99" s="10" t="s">
        <v>484</v>
      </c>
      <c r="D99" s="18"/>
      <c r="E99" s="18"/>
      <c r="F99" s="18"/>
      <c r="G99" s="18"/>
      <c r="H99" s="18"/>
      <c r="I99" s="10"/>
      <c r="J99" s="10"/>
      <c r="K99" s="18"/>
      <c r="L99" s="18"/>
      <c r="M99" s="18"/>
      <c r="N99" s="18"/>
      <c r="O99" s="18"/>
      <c r="P99" s="18"/>
      <c r="Q99" s="10"/>
      <c r="R99" s="10"/>
      <c r="S99" s="18"/>
      <c r="T99" s="18"/>
      <c r="U99" s="18"/>
      <c r="V99" s="18"/>
      <c r="W99" s="18"/>
      <c r="X99" s="18"/>
    </row>
    <row r="100">
      <c r="A100" s="15" t="s">
        <v>485</v>
      </c>
      <c r="B100" s="15" t="s">
        <v>486</v>
      </c>
      <c r="C100" s="15" t="s">
        <v>487</v>
      </c>
      <c r="D100" s="18"/>
      <c r="E100" s="18"/>
      <c r="F100" s="18"/>
      <c r="G100" s="18"/>
      <c r="H100" s="18"/>
      <c r="I100" s="10"/>
      <c r="J100" s="10"/>
      <c r="K100" s="18"/>
      <c r="L100" s="18"/>
      <c r="M100" s="18"/>
      <c r="N100" s="18"/>
      <c r="O100" s="18"/>
      <c r="P100" s="18"/>
      <c r="Q100" s="10"/>
      <c r="R100" s="10"/>
      <c r="S100" s="18"/>
      <c r="T100" s="18"/>
      <c r="U100" s="18"/>
      <c r="V100" s="18"/>
      <c r="W100" s="18"/>
      <c r="X100" s="18"/>
    </row>
    <row r="101">
      <c r="A101" s="10" t="s">
        <v>488</v>
      </c>
      <c r="B101" s="10" t="s">
        <v>489</v>
      </c>
      <c r="C101" s="10" t="s">
        <v>490</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491</v>
      </c>
      <c r="B102" s="15" t="s">
        <v>492</v>
      </c>
      <c r="C102" s="15" t="s">
        <v>493</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494</v>
      </c>
      <c r="B103" s="15" t="s">
        <v>495</v>
      </c>
      <c r="C103" s="15" t="s">
        <v>496</v>
      </c>
      <c r="D103" s="18"/>
      <c r="E103" s="18"/>
      <c r="F103" s="18"/>
      <c r="G103" s="18"/>
      <c r="H103" s="18"/>
      <c r="I103" s="10"/>
      <c r="J103" s="10"/>
      <c r="K103" s="18"/>
      <c r="L103" s="18"/>
      <c r="M103" s="18"/>
      <c r="N103" s="18"/>
      <c r="O103" s="18"/>
      <c r="P103" s="18"/>
      <c r="Q103" s="10"/>
      <c r="R103" s="10"/>
      <c r="S103" s="18"/>
      <c r="T103" s="18"/>
      <c r="U103" s="18"/>
      <c r="V103" s="18"/>
      <c r="W103" s="18"/>
      <c r="X103" s="18"/>
    </row>
    <row r="104">
      <c r="A104" s="10" t="s">
        <v>497</v>
      </c>
      <c r="B104" s="10" t="s">
        <v>498</v>
      </c>
      <c r="C104" s="10" t="s">
        <v>499</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500</v>
      </c>
      <c r="B105" s="15" t="s">
        <v>501</v>
      </c>
      <c r="C105" s="15" t="s">
        <v>502</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503</v>
      </c>
      <c r="B106" s="10" t="s">
        <v>504</v>
      </c>
      <c r="C106" s="10" t="s">
        <v>505</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506</v>
      </c>
      <c r="B107" s="10" t="s">
        <v>507</v>
      </c>
      <c r="C107" s="10" t="s">
        <v>508</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509</v>
      </c>
      <c r="B108" s="15" t="s">
        <v>510</v>
      </c>
      <c r="C108" s="15" t="s">
        <v>511</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512</v>
      </c>
      <c r="B109" s="15" t="s">
        <v>513</v>
      </c>
      <c r="C109" s="15" t="s">
        <v>514</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515</v>
      </c>
      <c r="B110" s="15" t="s">
        <v>516</v>
      </c>
      <c r="C110" s="15" t="s">
        <v>517</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518</v>
      </c>
      <c r="B111" s="15" t="s">
        <v>519</v>
      </c>
      <c r="C111" s="15" t="s">
        <v>520</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521</v>
      </c>
      <c r="B112" s="10" t="s">
        <v>522</v>
      </c>
      <c r="C112" s="10" t="s">
        <v>523</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524</v>
      </c>
      <c r="B113" s="10" t="s">
        <v>525</v>
      </c>
      <c r="C113" s="10" t="s">
        <v>526</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527</v>
      </c>
      <c r="B114" s="10" t="s">
        <v>528</v>
      </c>
      <c r="C114" s="10" t="s">
        <v>529</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530</v>
      </c>
      <c r="B115" s="15" t="s">
        <v>531</v>
      </c>
      <c r="C115" s="15" t="s">
        <v>532</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533</v>
      </c>
      <c r="B116" s="15" t="s">
        <v>534</v>
      </c>
      <c r="C116" s="15" t="s">
        <v>535</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536</v>
      </c>
      <c r="B117" s="10" t="s">
        <v>537</v>
      </c>
      <c r="C117" s="10" t="s">
        <v>538</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539</v>
      </c>
      <c r="B118" s="10" t="s">
        <v>540</v>
      </c>
      <c r="C118" s="10" t="s">
        <v>541</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542</v>
      </c>
      <c r="B119" s="10" t="s">
        <v>543</v>
      </c>
      <c r="C119" s="10" t="s">
        <v>544</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545</v>
      </c>
      <c r="B120" s="10" t="s">
        <v>546</v>
      </c>
      <c r="C120" s="10" t="s">
        <v>547</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548</v>
      </c>
      <c r="B121" s="10" t="s">
        <v>549</v>
      </c>
      <c r="C121" s="10" t="s">
        <v>550</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551</v>
      </c>
      <c r="B122" s="15" t="s">
        <v>552</v>
      </c>
      <c r="C122" s="15" t="s">
        <v>553</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554</v>
      </c>
      <c r="B123" s="15" t="s">
        <v>555</v>
      </c>
      <c r="C123" s="15" t="s">
        <v>556</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557</v>
      </c>
      <c r="B124" s="15" t="s">
        <v>558</v>
      </c>
      <c r="C124" s="15" t="s">
        <v>559</v>
      </c>
      <c r="D124" s="18"/>
      <c r="E124" s="18"/>
      <c r="F124" s="18"/>
      <c r="G124" s="18"/>
      <c r="H124" s="18"/>
      <c r="I124" s="10"/>
      <c r="J124" s="10"/>
      <c r="K124" s="18"/>
      <c r="L124" s="18"/>
      <c r="M124" s="18"/>
      <c r="N124" s="18"/>
      <c r="O124" s="18"/>
      <c r="P124" s="18"/>
      <c r="Q124" s="10"/>
      <c r="R124" s="10"/>
      <c r="S124" s="18"/>
      <c r="T124" s="18"/>
      <c r="U124" s="18"/>
      <c r="V124" s="18"/>
      <c r="W124" s="18"/>
      <c r="X124" s="18"/>
    </row>
    <row r="125">
      <c r="A125" s="10" t="s">
        <v>560</v>
      </c>
      <c r="B125" s="10" t="s">
        <v>561</v>
      </c>
      <c r="C125" s="10" t="s">
        <v>562</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563</v>
      </c>
      <c r="B126" s="10" t="s">
        <v>564</v>
      </c>
      <c r="C126" s="10" t="s">
        <v>565</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566</v>
      </c>
      <c r="B127" s="15" t="s">
        <v>567</v>
      </c>
      <c r="C127" s="15" t="s">
        <v>568</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569</v>
      </c>
      <c r="B128" s="15" t="s">
        <v>570</v>
      </c>
      <c r="C128" s="15" t="s">
        <v>571</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572</v>
      </c>
      <c r="B129" s="15" t="s">
        <v>573</v>
      </c>
      <c r="C129" s="15" t="s">
        <v>574</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575</v>
      </c>
      <c r="B130" s="15" t="s">
        <v>576</v>
      </c>
      <c r="C130" s="15" t="s">
        <v>577</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578</v>
      </c>
      <c r="B131" s="10" t="s">
        <v>579</v>
      </c>
      <c r="C131" s="10" t="s">
        <v>580</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581</v>
      </c>
      <c r="B132" s="10" t="s">
        <v>582</v>
      </c>
      <c r="C132" s="10" t="s">
        <v>583</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584</v>
      </c>
      <c r="B133" s="10" t="s">
        <v>585</v>
      </c>
      <c r="C133" s="10" t="s">
        <v>586</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587</v>
      </c>
      <c r="B134" s="10" t="s">
        <v>588</v>
      </c>
      <c r="C134" s="10" t="s">
        <v>589</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590</v>
      </c>
      <c r="B135" s="15" t="s">
        <v>591</v>
      </c>
      <c r="C135" s="15" t="s">
        <v>592</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593</v>
      </c>
      <c r="B136" s="15" t="s">
        <v>594</v>
      </c>
      <c r="C136" s="15" t="s">
        <v>595</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596</v>
      </c>
      <c r="B137" s="10" t="s">
        <v>597</v>
      </c>
      <c r="C137" s="10" t="s">
        <v>598</v>
      </c>
      <c r="D137" s="18"/>
      <c r="E137" s="18"/>
      <c r="F137" s="18"/>
      <c r="G137" s="18"/>
      <c r="H137" s="18"/>
      <c r="I137" s="10"/>
      <c r="J137" s="10"/>
      <c r="K137" s="18"/>
      <c r="L137" s="18"/>
      <c r="M137" s="18"/>
      <c r="N137" s="18"/>
      <c r="O137" s="18"/>
      <c r="P137" s="18"/>
      <c r="Q137" s="10"/>
      <c r="R137" s="10"/>
      <c r="S137" s="18"/>
      <c r="T137" s="18"/>
      <c r="U137" s="18"/>
      <c r="V137" s="18"/>
      <c r="W137" s="18"/>
      <c r="X137" s="18"/>
    </row>
    <row r="138">
      <c r="A138" s="15" t="s">
        <v>599</v>
      </c>
      <c r="B138" s="15" t="s">
        <v>600</v>
      </c>
      <c r="C138" s="15" t="s">
        <v>601</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602</v>
      </c>
      <c r="B139" s="15" t="s">
        <v>603</v>
      </c>
      <c r="C139" s="15" t="s">
        <v>604</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605</v>
      </c>
      <c r="B140" s="10" t="s">
        <v>606</v>
      </c>
      <c r="C140" s="10" t="s">
        <v>607</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608</v>
      </c>
      <c r="B141" s="10" t="s">
        <v>609</v>
      </c>
      <c r="C141" s="10" t="s">
        <v>610</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611</v>
      </c>
      <c r="B142" s="10" t="s">
        <v>612</v>
      </c>
      <c r="C142" s="10" t="s">
        <v>613</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614</v>
      </c>
      <c r="B143" s="10" t="s">
        <v>615</v>
      </c>
      <c r="C143" s="10" t="s">
        <v>616</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617</v>
      </c>
      <c r="B144" s="15" t="s">
        <v>618</v>
      </c>
      <c r="C144" s="15" t="s">
        <v>619</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620</v>
      </c>
      <c r="B145" s="15" t="s">
        <v>621</v>
      </c>
      <c r="C145" s="15" t="s">
        <v>622</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623</v>
      </c>
      <c r="B146" s="10" t="s">
        <v>624</v>
      </c>
      <c r="C146" s="10" t="s">
        <v>625</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626</v>
      </c>
      <c r="B147" s="15" t="s">
        <v>627</v>
      </c>
      <c r="C147" s="15" t="s">
        <v>628</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629</v>
      </c>
      <c r="B148" s="10" t="s">
        <v>630</v>
      </c>
      <c r="C148" s="10" t="s">
        <v>631</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632</v>
      </c>
      <c r="B149" s="10" t="s">
        <v>633</v>
      </c>
      <c r="C149" s="10" t="s">
        <v>634</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635</v>
      </c>
      <c r="B150" s="15" t="s">
        <v>636</v>
      </c>
      <c r="C150" s="15" t="s">
        <v>637</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638</v>
      </c>
      <c r="B151" s="10" t="s">
        <v>639</v>
      </c>
      <c r="C151" s="10" t="s">
        <v>640</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641</v>
      </c>
      <c r="B152" s="15" t="s">
        <v>642</v>
      </c>
      <c r="C152" s="15" t="s">
        <v>643</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644</v>
      </c>
      <c r="B153" s="15" t="s">
        <v>645</v>
      </c>
      <c r="C153" s="15" t="s">
        <v>646</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647</v>
      </c>
      <c r="B154" s="15" t="s">
        <v>648</v>
      </c>
      <c r="C154" s="15" t="s">
        <v>649</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650</v>
      </c>
      <c r="B155" s="15" t="s">
        <v>651</v>
      </c>
      <c r="C155" s="15" t="s">
        <v>652</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653</v>
      </c>
      <c r="B156" s="15" t="s">
        <v>654</v>
      </c>
      <c r="C156" s="15" t="s">
        <v>655</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656</v>
      </c>
      <c r="B157" s="15" t="s">
        <v>657</v>
      </c>
      <c r="C157" s="15" t="s">
        <v>658</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659</v>
      </c>
      <c r="B158" s="10" t="s">
        <v>660</v>
      </c>
      <c r="C158" s="10" t="s">
        <v>661</v>
      </c>
      <c r="D158" s="18"/>
      <c r="E158" s="18"/>
      <c r="F158" s="18"/>
      <c r="G158" s="18"/>
      <c r="H158" s="18"/>
      <c r="I158" s="10"/>
      <c r="J158" s="10"/>
      <c r="K158" s="18"/>
      <c r="L158" s="18"/>
      <c r="M158" s="18"/>
      <c r="N158" s="18"/>
      <c r="O158" s="18"/>
      <c r="P158" s="18"/>
      <c r="Q158" s="10"/>
      <c r="R158" s="10"/>
      <c r="S158" s="18"/>
      <c r="T158" s="18"/>
      <c r="U158" s="18"/>
      <c r="V158" s="18"/>
      <c r="W158" s="18"/>
      <c r="X158" s="18"/>
    </row>
    <row r="159">
      <c r="A159" s="10" t="s">
        <v>662</v>
      </c>
      <c r="B159" s="10" t="s">
        <v>663</v>
      </c>
      <c r="C159" s="10" t="s">
        <v>664</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665</v>
      </c>
      <c r="B160" s="15" t="s">
        <v>666</v>
      </c>
      <c r="C160" s="15" t="s">
        <v>667</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668</v>
      </c>
      <c r="B161" s="15" t="s">
        <v>669</v>
      </c>
      <c r="C161" s="15" t="s">
        <v>670</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671</v>
      </c>
      <c r="B162" s="10" t="s">
        <v>672</v>
      </c>
      <c r="C162" s="15" t="s">
        <v>673</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674</v>
      </c>
      <c r="B163" s="10" t="s">
        <v>675</v>
      </c>
      <c r="C163" s="10" t="s">
        <v>676</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677</v>
      </c>
      <c r="B164" s="10" t="s">
        <v>678</v>
      </c>
      <c r="C164" s="10" t="s">
        <v>679</v>
      </c>
      <c r="D164" s="18"/>
      <c r="E164" s="18"/>
      <c r="F164" s="18"/>
      <c r="G164" s="18"/>
      <c r="H164" s="18"/>
      <c r="I164" s="10"/>
      <c r="J164" s="10"/>
      <c r="K164" s="18"/>
      <c r="L164" s="18"/>
      <c r="M164" s="18"/>
      <c r="N164" s="18"/>
      <c r="O164" s="18"/>
      <c r="P164" s="18"/>
      <c r="Q164" s="10"/>
      <c r="R164" s="10"/>
      <c r="S164" s="18"/>
      <c r="T164" s="18"/>
      <c r="U164" s="18"/>
      <c r="V164" s="18"/>
      <c r="W164" s="18"/>
      <c r="X164" s="18"/>
    </row>
    <row r="165">
      <c r="A165" s="10" t="s">
        <v>680</v>
      </c>
      <c r="B165" s="10" t="s">
        <v>681</v>
      </c>
      <c r="C165" s="10" t="s">
        <v>682</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683</v>
      </c>
      <c r="B166" s="10" t="s">
        <v>684</v>
      </c>
      <c r="C166" s="10" t="s">
        <v>685</v>
      </c>
      <c r="D166" s="18"/>
      <c r="E166" s="18"/>
      <c r="F166" s="18"/>
      <c r="G166" s="18"/>
      <c r="H166" s="18"/>
      <c r="I166" s="10"/>
      <c r="J166" s="10"/>
      <c r="K166" s="18"/>
      <c r="L166" s="18"/>
      <c r="M166" s="18"/>
      <c r="N166" s="18"/>
      <c r="O166" s="18"/>
      <c r="P166" s="18"/>
      <c r="Q166" s="10"/>
      <c r="R166" s="10"/>
      <c r="S166" s="18"/>
      <c r="T166" s="18"/>
      <c r="U166" s="18"/>
      <c r="V166" s="18"/>
      <c r="W166" s="18"/>
      <c r="X166" s="18"/>
    </row>
    <row r="167">
      <c r="A167" s="15" t="s">
        <v>686</v>
      </c>
      <c r="B167" s="15" t="s">
        <v>687</v>
      </c>
      <c r="C167" s="15" t="s">
        <v>688</v>
      </c>
      <c r="D167" s="18"/>
      <c r="E167" s="18"/>
      <c r="F167" s="18"/>
      <c r="G167" s="18"/>
      <c r="H167" s="18"/>
      <c r="I167" s="10"/>
      <c r="J167" s="10"/>
      <c r="K167" s="18"/>
      <c r="L167" s="18"/>
      <c r="M167" s="18"/>
      <c r="N167" s="18"/>
      <c r="O167" s="18"/>
      <c r="P167" s="18"/>
      <c r="Q167" s="10"/>
      <c r="R167" s="10"/>
      <c r="S167" s="18"/>
      <c r="T167" s="18"/>
      <c r="U167" s="18"/>
      <c r="V167" s="18"/>
      <c r="W167" s="18"/>
      <c r="X167" s="18"/>
    </row>
    <row r="168">
      <c r="A168" s="36" t="s">
        <v>689</v>
      </c>
      <c r="B168" s="10" t="s">
        <v>690</v>
      </c>
      <c r="C168" s="10" t="s">
        <v>691</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692</v>
      </c>
      <c r="B169" s="15" t="s">
        <v>693</v>
      </c>
      <c r="C169" s="15" t="s">
        <v>694</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695</v>
      </c>
      <c r="B170" s="15" t="s">
        <v>696</v>
      </c>
      <c r="C170" s="15" t="s">
        <v>697</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698</v>
      </c>
      <c r="B171" s="10" t="s">
        <v>699</v>
      </c>
      <c r="C171" s="10" t="s">
        <v>700</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701</v>
      </c>
      <c r="B172" s="10" t="s">
        <v>702</v>
      </c>
      <c r="C172" s="10" t="s">
        <v>703</v>
      </c>
      <c r="D172" s="18"/>
      <c r="E172" s="18"/>
      <c r="F172" s="18"/>
      <c r="G172" s="18"/>
      <c r="H172" s="18"/>
      <c r="I172" s="10"/>
      <c r="J172" s="10"/>
      <c r="K172" s="18"/>
      <c r="L172" s="18"/>
      <c r="M172" s="18"/>
      <c r="N172" s="18"/>
      <c r="O172" s="18"/>
      <c r="P172" s="18"/>
      <c r="Q172" s="10"/>
      <c r="R172" s="10"/>
      <c r="S172" s="18"/>
      <c r="T172" s="18"/>
      <c r="U172" s="18"/>
      <c r="V172" s="18"/>
      <c r="W172" s="18"/>
      <c r="X172" s="18"/>
    </row>
    <row r="173">
      <c r="A173" s="15" t="s">
        <v>704</v>
      </c>
      <c r="B173" s="15" t="s">
        <v>705</v>
      </c>
      <c r="C173" s="15" t="s">
        <v>706</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707</v>
      </c>
      <c r="B174" s="15" t="s">
        <v>708</v>
      </c>
      <c r="C174" s="15" t="s">
        <v>709</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710</v>
      </c>
      <c r="B175" s="15" t="s">
        <v>711</v>
      </c>
      <c r="C175" s="15" t="s">
        <v>712</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713</v>
      </c>
      <c r="B176" s="15" t="s">
        <v>714</v>
      </c>
      <c r="C176" s="15" t="s">
        <v>715</v>
      </c>
      <c r="D176" s="18"/>
      <c r="E176" s="18"/>
      <c r="F176" s="18"/>
      <c r="G176" s="18"/>
      <c r="H176" s="18"/>
      <c r="I176" s="10"/>
      <c r="J176" s="10"/>
      <c r="K176" s="18"/>
      <c r="L176" s="18"/>
      <c r="M176" s="18"/>
      <c r="N176" s="18"/>
      <c r="O176" s="18"/>
      <c r="P176" s="18"/>
      <c r="Q176" s="10"/>
      <c r="R176" s="10"/>
      <c r="S176" s="18"/>
      <c r="T176" s="18"/>
      <c r="U176" s="18"/>
      <c r="V176" s="18"/>
      <c r="W176" s="18"/>
      <c r="X176" s="18"/>
    </row>
    <row r="177">
      <c r="A177" s="10" t="s">
        <v>716</v>
      </c>
      <c r="B177" s="10" t="s">
        <v>717</v>
      </c>
      <c r="C177" s="10" t="s">
        <v>718</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719</v>
      </c>
      <c r="B178" s="15" t="s">
        <v>720</v>
      </c>
      <c r="C178" s="15" t="s">
        <v>721</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722</v>
      </c>
      <c r="B179" s="15" t="s">
        <v>723</v>
      </c>
      <c r="C179" s="15" t="s">
        <v>724</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725</v>
      </c>
      <c r="B180" s="15" t="s">
        <v>726</v>
      </c>
      <c r="C180" s="15" t="s">
        <v>727</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728</v>
      </c>
      <c r="B181" s="15" t="s">
        <v>729</v>
      </c>
      <c r="C181" s="15" t="s">
        <v>730</v>
      </c>
      <c r="D181" s="18"/>
      <c r="E181" s="18"/>
      <c r="F181" s="18"/>
      <c r="G181" s="18"/>
      <c r="H181" s="18"/>
      <c r="I181" s="10"/>
      <c r="J181" s="10"/>
      <c r="K181" s="18"/>
      <c r="L181" s="18"/>
      <c r="M181" s="18"/>
      <c r="N181" s="18"/>
      <c r="O181" s="18"/>
      <c r="P181" s="18"/>
      <c r="Q181" s="10"/>
      <c r="R181" s="10"/>
      <c r="S181" s="18"/>
      <c r="T181" s="18"/>
      <c r="U181" s="18"/>
      <c r="V181" s="18"/>
      <c r="W181" s="18"/>
      <c r="X181" s="18"/>
    </row>
    <row r="182">
      <c r="A182" s="20" t="s">
        <v>731</v>
      </c>
      <c r="B182" s="20" t="s">
        <v>732</v>
      </c>
      <c r="C182" s="10" t="s">
        <v>733</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734</v>
      </c>
      <c r="B183" s="15" t="s">
        <v>735</v>
      </c>
      <c r="C183" s="15" t="s">
        <v>736</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737</v>
      </c>
      <c r="B184" s="15" t="s">
        <v>738</v>
      </c>
      <c r="C184" s="15" t="s">
        <v>739</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740</v>
      </c>
      <c r="B185" s="15" t="s">
        <v>741</v>
      </c>
      <c r="C185" s="15" t="s">
        <v>742</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743</v>
      </c>
      <c r="B186" s="15" t="s">
        <v>744</v>
      </c>
      <c r="C186" s="15" t="s">
        <v>745</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746</v>
      </c>
      <c r="B187" s="10" t="s">
        <v>747</v>
      </c>
      <c r="C187" s="10" t="s">
        <v>748</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749</v>
      </c>
      <c r="B188" s="10" t="s">
        <v>750</v>
      </c>
      <c r="C188" s="10" t="s">
        <v>751</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752</v>
      </c>
      <c r="B189" s="15" t="s">
        <v>753</v>
      </c>
      <c r="C189" s="15" t="s">
        <v>754</v>
      </c>
      <c r="D189" s="18"/>
      <c r="E189" s="18"/>
      <c r="F189" s="18"/>
      <c r="G189" s="18"/>
      <c r="H189" s="18"/>
      <c r="I189" s="10"/>
      <c r="J189" s="10"/>
      <c r="K189" s="18"/>
      <c r="L189" s="18"/>
      <c r="M189" s="18"/>
      <c r="N189" s="18"/>
      <c r="O189" s="18"/>
      <c r="P189" s="18"/>
      <c r="Q189" s="10"/>
      <c r="R189" s="10"/>
      <c r="S189" s="18"/>
      <c r="T189" s="18"/>
      <c r="U189" s="18"/>
      <c r="V189" s="18"/>
      <c r="W189" s="18"/>
      <c r="X189" s="18"/>
    </row>
    <row r="190">
      <c r="A190" s="10" t="s">
        <v>755</v>
      </c>
      <c r="B190" s="10" t="s">
        <v>756</v>
      </c>
      <c r="C190" s="10" t="s">
        <v>757</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758</v>
      </c>
      <c r="B191" s="15" t="s">
        <v>759</v>
      </c>
      <c r="C191" s="15" t="s">
        <v>760</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761</v>
      </c>
      <c r="B192" s="10" t="s">
        <v>762</v>
      </c>
      <c r="C192" s="10" t="s">
        <v>763</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764</v>
      </c>
      <c r="B193" s="10" t="s">
        <v>765</v>
      </c>
      <c r="C193" s="10" t="s">
        <v>766</v>
      </c>
      <c r="D193" s="18"/>
      <c r="E193" s="18"/>
      <c r="F193" s="18"/>
      <c r="G193" s="18"/>
      <c r="H193" s="18"/>
      <c r="I193" s="10"/>
      <c r="J193" s="10"/>
      <c r="K193" s="18"/>
      <c r="L193" s="18"/>
      <c r="M193" s="18"/>
      <c r="N193" s="18"/>
      <c r="O193" s="18"/>
      <c r="P193" s="18"/>
      <c r="Q193" s="10"/>
      <c r="R193" s="10"/>
      <c r="S193" s="18"/>
      <c r="T193" s="18"/>
      <c r="U193" s="18"/>
      <c r="V193" s="18"/>
      <c r="W193" s="18"/>
      <c r="X193" s="18"/>
    </row>
    <row r="194">
      <c r="A194" s="10" t="s">
        <v>767</v>
      </c>
      <c r="B194" s="10" t="s">
        <v>768</v>
      </c>
      <c r="C194" s="10" t="s">
        <v>769</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770</v>
      </c>
      <c r="B195" s="15" t="s">
        <v>771</v>
      </c>
      <c r="C195" s="15" t="s">
        <v>772</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773</v>
      </c>
      <c r="B196" s="10" t="s">
        <v>774</v>
      </c>
      <c r="C196" s="10" t="s">
        <v>775</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776</v>
      </c>
      <c r="B197" s="10" t="s">
        <v>777</v>
      </c>
      <c r="C197" s="10" t="s">
        <v>778</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779</v>
      </c>
      <c r="B198" s="15" t="s">
        <v>780</v>
      </c>
      <c r="C198" s="15" t="s">
        <v>781</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782</v>
      </c>
      <c r="B199" s="15" t="s">
        <v>783</v>
      </c>
      <c r="C199" s="15" t="s">
        <v>784</v>
      </c>
      <c r="D199" s="18"/>
      <c r="E199" s="18"/>
      <c r="F199" s="18"/>
      <c r="G199" s="18"/>
      <c r="H199" s="18"/>
      <c r="I199" s="10"/>
      <c r="J199" s="10"/>
      <c r="K199" s="18"/>
      <c r="L199" s="18"/>
      <c r="M199" s="18"/>
      <c r="N199" s="18"/>
      <c r="O199" s="18"/>
      <c r="P199" s="18"/>
      <c r="Q199" s="10"/>
      <c r="R199" s="10"/>
      <c r="S199" s="18"/>
      <c r="T199" s="18"/>
      <c r="U199" s="18"/>
      <c r="V199" s="18"/>
      <c r="W199" s="18"/>
      <c r="X199" s="18"/>
    </row>
    <row r="200">
      <c r="A200" s="10" t="s">
        <v>785</v>
      </c>
      <c r="B200" s="10" t="s">
        <v>786</v>
      </c>
      <c r="C200" s="10" t="s">
        <v>787</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788</v>
      </c>
      <c r="B201" s="15" t="s">
        <v>789</v>
      </c>
      <c r="C201" s="15" t="s">
        <v>790</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791</v>
      </c>
      <c r="B202" s="15" t="s">
        <v>792</v>
      </c>
      <c r="C202" s="15" t="s">
        <v>793</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794</v>
      </c>
      <c r="B203" s="10" t="s">
        <v>795</v>
      </c>
      <c r="C203" s="10" t="s">
        <v>796</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797</v>
      </c>
      <c r="B204" s="15" t="s">
        <v>798</v>
      </c>
      <c r="C204" s="15" t="s">
        <v>799</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800</v>
      </c>
      <c r="B205" s="15" t="s">
        <v>801</v>
      </c>
      <c r="C205" s="15" t="s">
        <v>802</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803</v>
      </c>
      <c r="B206" s="15" t="s">
        <v>804</v>
      </c>
      <c r="C206" s="15" t="s">
        <v>805</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806</v>
      </c>
      <c r="B207" s="15" t="s">
        <v>807</v>
      </c>
      <c r="C207" s="15" t="s">
        <v>808</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809</v>
      </c>
      <c r="B208" s="15" t="s">
        <v>810</v>
      </c>
      <c r="C208" s="15" t="s">
        <v>811</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812</v>
      </c>
      <c r="B209" s="15" t="s">
        <v>813</v>
      </c>
      <c r="C209" s="15" t="s">
        <v>814</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815</v>
      </c>
      <c r="B210" s="10" t="s">
        <v>816</v>
      </c>
      <c r="C210" s="10" t="s">
        <v>817</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818</v>
      </c>
      <c r="B211" s="10" t="s">
        <v>819</v>
      </c>
      <c r="C211" s="10" t="s">
        <v>820</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821</v>
      </c>
      <c r="B212" s="10" t="s">
        <v>822</v>
      </c>
      <c r="C212" s="10" t="s">
        <v>823</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824</v>
      </c>
      <c r="B213" s="10" t="s">
        <v>825</v>
      </c>
      <c r="C213" s="10" t="s">
        <v>826</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827</v>
      </c>
      <c r="B214" s="10" t="s">
        <v>828</v>
      </c>
      <c r="C214" s="10" t="s">
        <v>829</v>
      </c>
      <c r="D214" s="18"/>
      <c r="E214" s="18"/>
      <c r="F214" s="18"/>
      <c r="G214" s="18"/>
      <c r="H214" s="18"/>
      <c r="I214" s="10"/>
      <c r="J214" s="10"/>
      <c r="K214" s="18"/>
      <c r="L214" s="18"/>
      <c r="M214" s="18"/>
      <c r="N214" s="18"/>
      <c r="O214" s="18"/>
      <c r="P214" s="18"/>
      <c r="Q214" s="10"/>
      <c r="R214" s="10"/>
      <c r="S214" s="18"/>
      <c r="T214" s="18"/>
      <c r="U214" s="18"/>
      <c r="V214" s="18"/>
      <c r="W214" s="18"/>
      <c r="X214" s="18"/>
    </row>
    <row r="215">
      <c r="A215" s="10" t="s">
        <v>830</v>
      </c>
      <c r="B215" s="10" t="s">
        <v>831</v>
      </c>
      <c r="C215" s="10" t="s">
        <v>832</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833</v>
      </c>
      <c r="B216" s="15" t="s">
        <v>834</v>
      </c>
      <c r="C216" s="15" t="s">
        <v>835</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836</v>
      </c>
      <c r="B217" s="15" t="s">
        <v>837</v>
      </c>
      <c r="C217" s="15" t="s">
        <v>838</v>
      </c>
      <c r="D217" s="18"/>
      <c r="E217" s="18"/>
      <c r="F217" s="18"/>
      <c r="G217" s="18"/>
      <c r="H217" s="18"/>
      <c r="I217" s="10"/>
      <c r="J217" s="10"/>
      <c r="K217" s="18"/>
      <c r="L217" s="18"/>
      <c r="M217" s="18"/>
      <c r="N217" s="18"/>
      <c r="O217" s="18"/>
      <c r="P217" s="18"/>
      <c r="Q217" s="10"/>
      <c r="R217" s="10"/>
      <c r="S217" s="18"/>
      <c r="T217" s="18"/>
      <c r="U217" s="18"/>
      <c r="V217" s="18"/>
      <c r="W217" s="18"/>
      <c r="X217" s="18"/>
    </row>
    <row r="218">
      <c r="A218" s="10" t="s">
        <v>839</v>
      </c>
      <c r="B218" s="10" t="s">
        <v>840</v>
      </c>
      <c r="C218" s="10" t="s">
        <v>841</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842</v>
      </c>
      <c r="B219" s="15" t="s">
        <v>843</v>
      </c>
      <c r="C219" s="15" t="s">
        <v>844</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845</v>
      </c>
      <c r="B220" s="10" t="s">
        <v>846</v>
      </c>
      <c r="C220" s="10" t="s">
        <v>847</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848</v>
      </c>
      <c r="B221" s="10" t="s">
        <v>849</v>
      </c>
      <c r="C221" s="10" t="s">
        <v>850</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851</v>
      </c>
      <c r="B222" s="10" t="s">
        <v>852</v>
      </c>
      <c r="C222" s="10" t="s">
        <v>853</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854</v>
      </c>
      <c r="B223" s="15" t="s">
        <v>855</v>
      </c>
      <c r="C223" s="15" t="s">
        <v>856</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857</v>
      </c>
      <c r="B224" s="10" t="s">
        <v>858</v>
      </c>
      <c r="C224" s="10" t="s">
        <v>859</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860</v>
      </c>
      <c r="B225" s="15" t="s">
        <v>861</v>
      </c>
      <c r="C225" s="15" t="s">
        <v>862</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863</v>
      </c>
      <c r="B226" s="15" t="s">
        <v>864</v>
      </c>
      <c r="C226" s="15" t="s">
        <v>865</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866</v>
      </c>
      <c r="B227" s="15" t="s">
        <v>867</v>
      </c>
      <c r="C227" s="15" t="s">
        <v>868</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869</v>
      </c>
      <c r="B228" s="15" t="s">
        <v>870</v>
      </c>
      <c r="C228" s="15" t="s">
        <v>871</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872</v>
      </c>
      <c r="B229" s="15" t="s">
        <v>873</v>
      </c>
      <c r="C229" s="15" t="s">
        <v>874</v>
      </c>
      <c r="D229" s="18"/>
      <c r="E229" s="18"/>
      <c r="F229" s="18"/>
      <c r="G229" s="18"/>
      <c r="H229" s="18"/>
      <c r="I229" s="10"/>
      <c r="J229" s="10"/>
      <c r="K229" s="18"/>
      <c r="L229" s="18"/>
      <c r="M229" s="18"/>
      <c r="N229" s="18"/>
      <c r="O229" s="18"/>
      <c r="P229" s="18"/>
      <c r="Q229" s="10"/>
      <c r="R229" s="10"/>
      <c r="S229" s="18"/>
      <c r="T229" s="18"/>
      <c r="U229" s="18"/>
      <c r="V229" s="18"/>
      <c r="W229" s="18"/>
      <c r="X229" s="18"/>
    </row>
    <row r="230">
      <c r="A230" s="10" t="s">
        <v>875</v>
      </c>
      <c r="B230" s="10" t="s">
        <v>876</v>
      </c>
      <c r="C230" s="10" t="s">
        <v>877</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878</v>
      </c>
      <c r="B231" s="10" t="s">
        <v>879</v>
      </c>
      <c r="C231" s="10" t="s">
        <v>880</v>
      </c>
      <c r="D231" s="18"/>
      <c r="E231" s="18"/>
      <c r="F231" s="18"/>
      <c r="G231" s="18"/>
      <c r="H231" s="18"/>
      <c r="I231" s="10"/>
      <c r="J231" s="10"/>
      <c r="K231" s="18"/>
      <c r="L231" s="18"/>
      <c r="M231" s="18"/>
      <c r="N231" s="18"/>
      <c r="O231" s="18"/>
      <c r="P231" s="18"/>
      <c r="Q231" s="10"/>
      <c r="R231" s="10"/>
      <c r="S231" s="18"/>
      <c r="T231" s="18"/>
      <c r="U231" s="18"/>
      <c r="V231" s="18"/>
      <c r="W231" s="18"/>
      <c r="X231" s="18"/>
    </row>
    <row r="232">
      <c r="A232" s="15" t="s">
        <v>881</v>
      </c>
      <c r="B232" s="15" t="s">
        <v>882</v>
      </c>
      <c r="C232" s="15" t="s">
        <v>883</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884</v>
      </c>
      <c r="B233" s="15" t="s">
        <v>885</v>
      </c>
      <c r="C233" s="15" t="s">
        <v>886</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887</v>
      </c>
      <c r="B234" s="10" t="s">
        <v>888</v>
      </c>
      <c r="C234" s="10" t="s">
        <v>889</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890</v>
      </c>
      <c r="B235" s="15" t="s">
        <v>891</v>
      </c>
      <c r="C235" s="15" t="s">
        <v>892</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893</v>
      </c>
      <c r="B236" s="37" t="s">
        <v>894</v>
      </c>
      <c r="C236" s="37" t="s">
        <v>895</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896</v>
      </c>
      <c r="B237" s="15" t="s">
        <v>897</v>
      </c>
      <c r="C237" s="15" t="s">
        <v>898</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899</v>
      </c>
      <c r="B238" s="15" t="s">
        <v>900</v>
      </c>
      <c r="C238" s="15" t="s">
        <v>901</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902</v>
      </c>
      <c r="B239" s="15" t="s">
        <v>903</v>
      </c>
      <c r="C239" s="15" t="s">
        <v>904</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905</v>
      </c>
      <c r="B240" s="15" t="s">
        <v>906</v>
      </c>
      <c r="C240" s="15" t="s">
        <v>907</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908</v>
      </c>
      <c r="B241" s="10" t="s">
        <v>909</v>
      </c>
      <c r="C241" s="10" t="s">
        <v>910</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911</v>
      </c>
      <c r="B242" s="15" t="s">
        <v>912</v>
      </c>
      <c r="C242" s="15" t="s">
        <v>913</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914</v>
      </c>
      <c r="B243" s="10" t="s">
        <v>915</v>
      </c>
      <c r="C243" s="10" t="s">
        <v>916</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917</v>
      </c>
      <c r="B244" s="10" t="s">
        <v>918</v>
      </c>
      <c r="C244" s="10" t="s">
        <v>919</v>
      </c>
      <c r="D244" s="18"/>
      <c r="E244" s="18"/>
      <c r="F244" s="18"/>
      <c r="G244" s="18"/>
      <c r="H244" s="18"/>
      <c r="I244" s="10"/>
      <c r="J244" s="10"/>
      <c r="K244" s="18"/>
      <c r="L244" s="18"/>
      <c r="M244" s="18"/>
      <c r="N244" s="18"/>
      <c r="O244" s="18"/>
      <c r="P244" s="18"/>
      <c r="Q244" s="10"/>
      <c r="R244" s="10"/>
      <c r="S244" s="18"/>
      <c r="T244" s="18"/>
      <c r="U244" s="18"/>
      <c r="V244" s="18"/>
      <c r="W244" s="18"/>
      <c r="X244" s="18"/>
    </row>
    <row r="245">
      <c r="A245" s="15" t="s">
        <v>920</v>
      </c>
      <c r="B245" s="15" t="s">
        <v>921</v>
      </c>
      <c r="C245" s="15" t="s">
        <v>922</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923</v>
      </c>
      <c r="B246" s="10" t="s">
        <v>924</v>
      </c>
      <c r="C246" s="10" t="s">
        <v>925</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926</v>
      </c>
      <c r="B247" s="10" t="s">
        <v>927</v>
      </c>
      <c r="C247" s="10" t="s">
        <v>928</v>
      </c>
      <c r="D247" s="18"/>
      <c r="E247" s="18"/>
      <c r="F247" s="18"/>
      <c r="G247" s="18"/>
      <c r="H247" s="18"/>
      <c r="I247" s="10"/>
      <c r="J247" s="10"/>
      <c r="K247" s="18"/>
      <c r="L247" s="18"/>
      <c r="M247" s="18"/>
      <c r="N247" s="18"/>
      <c r="O247" s="18"/>
      <c r="P247" s="18"/>
      <c r="Q247" s="10"/>
      <c r="R247" s="10"/>
      <c r="S247" s="18"/>
      <c r="T247" s="18"/>
      <c r="U247" s="18"/>
      <c r="V247" s="18"/>
      <c r="W247" s="18"/>
      <c r="X247" s="18"/>
    </row>
    <row r="248">
      <c r="A248" s="15" t="s">
        <v>929</v>
      </c>
      <c r="B248" s="15" t="s">
        <v>930</v>
      </c>
      <c r="C248" s="15" t="s">
        <v>931</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932</v>
      </c>
      <c r="B249" s="10" t="s">
        <v>933</v>
      </c>
      <c r="C249" s="10" t="s">
        <v>934</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935</v>
      </c>
      <c r="B250" s="15" t="s">
        <v>936</v>
      </c>
      <c r="C250" s="15" t="s">
        <v>937</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938</v>
      </c>
      <c r="B251" s="10" t="s">
        <v>939</v>
      </c>
      <c r="C251" s="10" t="s">
        <v>940</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941</v>
      </c>
      <c r="B252" s="10" t="s">
        <v>942</v>
      </c>
      <c r="C252" s="10" t="s">
        <v>943</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944</v>
      </c>
      <c r="B253" s="15" t="s">
        <v>945</v>
      </c>
      <c r="C253" s="15" t="s">
        <v>946</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947</v>
      </c>
      <c r="B254" s="10" t="s">
        <v>948</v>
      </c>
      <c r="C254" s="10" t="s">
        <v>949</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950</v>
      </c>
      <c r="B255" s="15" t="s">
        <v>951</v>
      </c>
      <c r="C255" s="15" t="s">
        <v>952</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953</v>
      </c>
      <c r="B256" s="10" t="s">
        <v>954</v>
      </c>
      <c r="C256" s="10" t="s">
        <v>955</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956</v>
      </c>
      <c r="B257" s="10" t="s">
        <v>957</v>
      </c>
      <c r="C257" s="10" t="s">
        <v>958</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959</v>
      </c>
      <c r="B258" s="10" t="s">
        <v>960</v>
      </c>
      <c r="C258" s="10" t="s">
        <v>961</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962</v>
      </c>
      <c r="B259" s="10" t="s">
        <v>963</v>
      </c>
      <c r="C259" s="10" t="s">
        <v>964</v>
      </c>
      <c r="D259" s="18"/>
      <c r="E259" s="18"/>
      <c r="F259" s="18"/>
      <c r="G259" s="18"/>
      <c r="H259" s="18"/>
      <c r="I259" s="10"/>
      <c r="J259" s="10"/>
      <c r="K259" s="18"/>
      <c r="L259" s="18"/>
      <c r="M259" s="18"/>
      <c r="N259" s="18"/>
      <c r="O259" s="18"/>
      <c r="P259" s="18"/>
      <c r="Q259" s="10"/>
      <c r="R259" s="10"/>
      <c r="S259" s="18"/>
      <c r="T259" s="18"/>
      <c r="U259" s="18"/>
      <c r="V259" s="18"/>
      <c r="W259" s="18"/>
      <c r="X259" s="18"/>
    </row>
    <row r="260">
      <c r="A260" s="15" t="s">
        <v>965</v>
      </c>
      <c r="B260" s="15" t="s">
        <v>966</v>
      </c>
      <c r="C260" s="15" t="s">
        <v>967</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968</v>
      </c>
      <c r="B261" s="15" t="s">
        <v>969</v>
      </c>
      <c r="C261" s="15" t="s">
        <v>970</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971</v>
      </c>
      <c r="B262" s="10" t="s">
        <v>972</v>
      </c>
      <c r="C262" s="10" t="s">
        <v>973</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974</v>
      </c>
      <c r="B263" s="10" t="s">
        <v>975</v>
      </c>
      <c r="C263" s="10" t="s">
        <v>976</v>
      </c>
      <c r="D263" s="18"/>
      <c r="E263" s="18"/>
      <c r="F263" s="18"/>
      <c r="G263" s="18"/>
      <c r="H263" s="18"/>
      <c r="I263" s="10"/>
      <c r="J263" s="10"/>
      <c r="K263" s="18"/>
      <c r="L263" s="18"/>
      <c r="M263" s="18"/>
      <c r="N263" s="18"/>
      <c r="O263" s="18"/>
      <c r="P263" s="18"/>
      <c r="Q263" s="10"/>
      <c r="R263" s="10"/>
      <c r="S263" s="18"/>
      <c r="T263" s="18"/>
      <c r="U263" s="18"/>
      <c r="V263" s="18"/>
      <c r="W263" s="18"/>
      <c r="X263" s="18"/>
    </row>
    <row r="264">
      <c r="A264" s="15" t="s">
        <v>977</v>
      </c>
      <c r="B264" s="15" t="s">
        <v>978</v>
      </c>
      <c r="C264" s="15" t="s">
        <v>979</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980</v>
      </c>
      <c r="B265" s="15" t="s">
        <v>981</v>
      </c>
      <c r="C265" s="15" t="s">
        <v>982</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983</v>
      </c>
      <c r="B266" s="15" t="s">
        <v>984</v>
      </c>
      <c r="C266" s="15" t="s">
        <v>985</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986</v>
      </c>
      <c r="B267" s="10" t="s">
        <v>987</v>
      </c>
      <c r="C267" s="10" t="s">
        <v>988</v>
      </c>
      <c r="D267" s="18"/>
      <c r="E267" s="18"/>
      <c r="F267" s="18"/>
      <c r="G267" s="18"/>
      <c r="H267" s="18"/>
      <c r="I267" s="20"/>
      <c r="J267" s="20"/>
      <c r="K267" s="10"/>
      <c r="L267" s="18"/>
      <c r="M267" s="18"/>
      <c r="N267" s="18"/>
      <c r="O267" s="18"/>
      <c r="P267" s="18"/>
      <c r="Q267" s="20"/>
      <c r="R267" s="20"/>
      <c r="S267" s="10"/>
      <c r="T267" s="18"/>
      <c r="U267" s="18"/>
      <c r="V267" s="18"/>
      <c r="W267" s="18"/>
      <c r="X267" s="18"/>
    </row>
    <row r="268">
      <c r="A268" s="10" t="s">
        <v>989</v>
      </c>
      <c r="B268" s="10" t="s">
        <v>990</v>
      </c>
      <c r="C268" s="10" t="s">
        <v>991</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992</v>
      </c>
      <c r="B269" s="10" t="s">
        <v>993</v>
      </c>
      <c r="C269" s="10" t="s">
        <v>994</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995</v>
      </c>
      <c r="B270" s="10" t="s">
        <v>996</v>
      </c>
      <c r="C270" s="10" t="s">
        <v>997</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998</v>
      </c>
      <c r="B271" s="10" t="s">
        <v>999</v>
      </c>
      <c r="C271" s="10" t="s">
        <v>1000</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1001</v>
      </c>
      <c r="B272" s="15" t="s">
        <v>1002</v>
      </c>
      <c r="C272" s="15" t="s">
        <v>1003</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1004</v>
      </c>
      <c r="B273" s="10" t="s">
        <v>1005</v>
      </c>
      <c r="C273" s="10" t="s">
        <v>1006</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1007</v>
      </c>
      <c r="B274" s="10" t="s">
        <v>1008</v>
      </c>
      <c r="C274" s="10" t="s">
        <v>1009</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1010</v>
      </c>
      <c r="B275" s="10" t="s">
        <v>1011</v>
      </c>
      <c r="C275" s="10" t="s">
        <v>1012</v>
      </c>
      <c r="D275" s="18"/>
      <c r="E275" s="18"/>
      <c r="F275" s="18"/>
      <c r="G275" s="18"/>
      <c r="H275" s="18"/>
      <c r="I275" s="10"/>
      <c r="J275" s="10"/>
      <c r="K275" s="18"/>
      <c r="L275" s="18"/>
      <c r="M275" s="18"/>
      <c r="N275" s="18"/>
      <c r="O275" s="18"/>
      <c r="P275" s="18"/>
      <c r="Q275" s="10"/>
      <c r="R275" s="10"/>
      <c r="S275" s="18"/>
      <c r="T275" s="18"/>
      <c r="U275" s="18"/>
      <c r="V275" s="18"/>
      <c r="W275" s="18"/>
      <c r="X275" s="18"/>
    </row>
    <row r="276">
      <c r="A276" s="15" t="s">
        <v>1013</v>
      </c>
      <c r="B276" s="15" t="s">
        <v>1014</v>
      </c>
      <c r="C276" s="15" t="s">
        <v>1015</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1016</v>
      </c>
      <c r="B277" s="10" t="s">
        <v>1017</v>
      </c>
      <c r="C277" s="10" t="s">
        <v>1018</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1019</v>
      </c>
      <c r="B278" s="10" t="s">
        <v>1020</v>
      </c>
      <c r="C278" s="10" t="s">
        <v>1021</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1022</v>
      </c>
      <c r="B279" s="15" t="s">
        <v>1023</v>
      </c>
      <c r="C279" s="15" t="s">
        <v>1024</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1025</v>
      </c>
      <c r="B280" s="15" t="s">
        <v>1026</v>
      </c>
      <c r="C280" s="15" t="s">
        <v>1027</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1028</v>
      </c>
      <c r="B281" s="15" t="s">
        <v>1029</v>
      </c>
      <c r="C281" s="15" t="s">
        <v>1030</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1031</v>
      </c>
      <c r="B282" s="15" t="s">
        <v>1032</v>
      </c>
      <c r="C282" s="15" t="s">
        <v>1033</v>
      </c>
      <c r="D282" s="18"/>
      <c r="E282" s="18"/>
      <c r="F282" s="18"/>
      <c r="G282" s="18"/>
      <c r="H282" s="18"/>
      <c r="I282" s="10"/>
      <c r="J282" s="10"/>
      <c r="K282" s="18"/>
      <c r="L282" s="18"/>
      <c r="M282" s="18"/>
      <c r="N282" s="18"/>
      <c r="O282" s="18"/>
      <c r="P282" s="18"/>
      <c r="Q282" s="10"/>
      <c r="R282" s="10"/>
      <c r="S282" s="18"/>
      <c r="T282" s="18"/>
      <c r="U282" s="18"/>
      <c r="V282" s="18"/>
      <c r="W282" s="18"/>
      <c r="X282" s="18"/>
    </row>
    <row r="283">
      <c r="A283" s="15" t="s">
        <v>1034</v>
      </c>
      <c r="B283" s="15" t="s">
        <v>1035</v>
      </c>
      <c r="C283" s="15" t="s">
        <v>1036</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1037</v>
      </c>
      <c r="B284" s="15" t="s">
        <v>1038</v>
      </c>
      <c r="C284" s="15" t="s">
        <v>1039</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1040</v>
      </c>
      <c r="B285" s="15" t="s">
        <v>1041</v>
      </c>
      <c r="C285" s="15" t="s">
        <v>1042</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1043</v>
      </c>
      <c r="B286" s="15" t="s">
        <v>1044</v>
      </c>
      <c r="C286" s="15" t="s">
        <v>1045</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1046</v>
      </c>
      <c r="B287" s="10" t="s">
        <v>1047</v>
      </c>
      <c r="C287" s="10" t="s">
        <v>1048</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1049</v>
      </c>
      <c r="B288" s="15" t="s">
        <v>1050</v>
      </c>
      <c r="C288" s="15" t="s">
        <v>1051</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1052</v>
      </c>
      <c r="B289" s="15" t="s">
        <v>1053</v>
      </c>
      <c r="C289" s="15" t="s">
        <v>1054</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1055</v>
      </c>
      <c r="B290" s="10" t="s">
        <v>1056</v>
      </c>
      <c r="C290" s="10" t="s">
        <v>1057</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1058</v>
      </c>
      <c r="B291" s="15" t="s">
        <v>1059</v>
      </c>
      <c r="C291" s="15" t="s">
        <v>1060</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1061</v>
      </c>
      <c r="B292" s="10" t="s">
        <v>1062</v>
      </c>
      <c r="C292" s="10" t="s">
        <v>1063</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1064</v>
      </c>
      <c r="B293" s="15" t="s">
        <v>1065</v>
      </c>
      <c r="C293" s="15" t="s">
        <v>1066</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1067</v>
      </c>
      <c r="B294" s="10" t="s">
        <v>1068</v>
      </c>
      <c r="C294" s="10" t="s">
        <v>1069</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1070</v>
      </c>
      <c r="B295" s="10" t="s">
        <v>1071</v>
      </c>
      <c r="C295" s="10" t="s">
        <v>1072</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1073</v>
      </c>
      <c r="B296" s="15" t="s">
        <v>1074</v>
      </c>
      <c r="C296" s="15" t="s">
        <v>1075</v>
      </c>
      <c r="D296" s="18"/>
      <c r="E296" s="18"/>
      <c r="F296" s="18"/>
      <c r="G296" s="18"/>
      <c r="H296" s="18"/>
      <c r="I296" s="10"/>
      <c r="J296" s="10"/>
      <c r="K296" s="18"/>
      <c r="L296" s="18"/>
      <c r="M296" s="18"/>
      <c r="N296" s="18"/>
      <c r="O296" s="18"/>
      <c r="P296" s="18"/>
      <c r="Q296" s="10"/>
      <c r="R296" s="10"/>
      <c r="S296" s="18"/>
      <c r="T296" s="18"/>
      <c r="U296" s="18"/>
      <c r="V296" s="18"/>
      <c r="W296" s="18"/>
      <c r="X296" s="18"/>
    </row>
    <row r="297">
      <c r="A297" s="10" t="s">
        <v>1076</v>
      </c>
      <c r="B297" s="10" t="s">
        <v>1077</v>
      </c>
      <c r="C297" s="10" t="s">
        <v>1078</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1079</v>
      </c>
      <c r="B298" s="15" t="s">
        <v>1080</v>
      </c>
      <c r="C298" s="15" t="s">
        <v>1081</v>
      </c>
      <c r="D298" s="18"/>
      <c r="E298" s="18"/>
      <c r="F298" s="18"/>
      <c r="G298" s="18"/>
      <c r="H298" s="18"/>
      <c r="I298" s="10"/>
      <c r="J298" s="10"/>
      <c r="K298" s="18"/>
      <c r="L298" s="18"/>
      <c r="M298" s="18"/>
      <c r="N298" s="18"/>
      <c r="O298" s="18"/>
      <c r="P298" s="18"/>
      <c r="Q298" s="10"/>
      <c r="R298" s="10"/>
      <c r="S298" s="18"/>
      <c r="T298" s="18"/>
      <c r="U298" s="18"/>
      <c r="V298" s="18"/>
      <c r="W298" s="18"/>
      <c r="X298" s="18"/>
    </row>
    <row r="299">
      <c r="A299" s="10" t="s">
        <v>1082</v>
      </c>
      <c r="B299" s="10" t="s">
        <v>1083</v>
      </c>
      <c r="C299" s="10" t="s">
        <v>1084</v>
      </c>
      <c r="D299" s="18"/>
      <c r="E299" s="18"/>
      <c r="F299" s="18"/>
      <c r="G299" s="18"/>
      <c r="H299" s="18"/>
      <c r="I299" s="10"/>
      <c r="J299" s="10"/>
      <c r="K299" s="18"/>
      <c r="L299" s="18"/>
      <c r="M299" s="18"/>
      <c r="N299" s="18"/>
      <c r="O299" s="18"/>
      <c r="P299" s="18"/>
      <c r="Q299" s="10"/>
      <c r="R299" s="10"/>
      <c r="S299" s="18"/>
      <c r="T299" s="18"/>
      <c r="U299" s="18"/>
      <c r="V299" s="18"/>
      <c r="W299" s="18"/>
      <c r="X299" s="18"/>
    </row>
    <row r="300">
      <c r="A300" s="10" t="s">
        <v>1085</v>
      </c>
      <c r="B300" s="10" t="s">
        <v>1086</v>
      </c>
      <c r="C300" s="10" t="s">
        <v>1087</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1088</v>
      </c>
      <c r="B301" s="10" t="s">
        <v>1089</v>
      </c>
      <c r="C301" s="10" t="s">
        <v>1090</v>
      </c>
      <c r="D301" s="18"/>
      <c r="E301" s="18"/>
      <c r="F301" s="18"/>
      <c r="G301" s="18"/>
      <c r="H301" s="18"/>
      <c r="I301" s="10"/>
      <c r="J301" s="10"/>
      <c r="K301" s="18"/>
      <c r="L301" s="18"/>
      <c r="M301" s="18"/>
      <c r="N301" s="18"/>
      <c r="O301" s="18"/>
      <c r="P301" s="18"/>
      <c r="Q301" s="10"/>
      <c r="R301" s="10"/>
      <c r="S301" s="18"/>
      <c r="T301" s="18"/>
      <c r="U301" s="18"/>
      <c r="V301" s="18"/>
      <c r="W301" s="18"/>
      <c r="X301" s="18"/>
    </row>
    <row r="302">
      <c r="A302" s="10" t="s">
        <v>1091</v>
      </c>
      <c r="B302" s="10" t="s">
        <v>1092</v>
      </c>
      <c r="C302" s="10" t="s">
        <v>1093</v>
      </c>
      <c r="D302" s="18"/>
      <c r="E302" s="18"/>
      <c r="F302" s="18"/>
      <c r="G302" s="18"/>
      <c r="H302" s="18"/>
      <c r="I302" s="10"/>
      <c r="J302" s="10"/>
      <c r="K302" s="18"/>
      <c r="L302" s="18"/>
      <c r="M302" s="18"/>
      <c r="N302" s="18"/>
      <c r="O302" s="18"/>
      <c r="P302" s="18"/>
      <c r="Q302" s="10"/>
      <c r="R302" s="10"/>
      <c r="S302" s="18"/>
      <c r="T302" s="18"/>
      <c r="U302" s="18"/>
      <c r="V302" s="18"/>
      <c r="W302" s="18"/>
      <c r="X302" s="18"/>
    </row>
    <row r="303">
      <c r="A303" s="10" t="s">
        <v>1094</v>
      </c>
      <c r="B303" s="10" t="s">
        <v>1095</v>
      </c>
      <c r="C303" s="10" t="s">
        <v>1096</v>
      </c>
      <c r="D303" s="18"/>
      <c r="E303" s="18"/>
      <c r="F303" s="18"/>
      <c r="G303" s="18"/>
      <c r="H303" s="18"/>
      <c r="I303" s="10"/>
      <c r="J303" s="10"/>
      <c r="K303" s="18"/>
      <c r="L303" s="18"/>
      <c r="M303" s="18"/>
      <c r="N303" s="18"/>
      <c r="O303" s="18"/>
      <c r="P303" s="18"/>
      <c r="Q303" s="10"/>
      <c r="R303" s="10"/>
      <c r="S303" s="18"/>
      <c r="T303" s="18"/>
      <c r="U303" s="18"/>
      <c r="V303" s="18"/>
      <c r="W303" s="18"/>
      <c r="X303" s="18"/>
    </row>
    <row r="304">
      <c r="A304" s="20" t="s">
        <v>1097</v>
      </c>
      <c r="B304" s="20" t="s">
        <v>1098</v>
      </c>
      <c r="C304" s="10" t="s">
        <v>1099</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1100</v>
      </c>
      <c r="B305" s="15" t="s">
        <v>1101</v>
      </c>
      <c r="C305" s="15" t="s">
        <v>1102</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1103</v>
      </c>
      <c r="B306" s="15" t="s">
        <v>1104</v>
      </c>
      <c r="C306" s="15" t="s">
        <v>1105</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1106</v>
      </c>
      <c r="B307" s="15" t="s">
        <v>1107</v>
      </c>
      <c r="C307" s="15" t="s">
        <v>1108</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1109</v>
      </c>
      <c r="B308" s="15" t="s">
        <v>1110</v>
      </c>
      <c r="C308" s="15" t="s">
        <v>1111</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1112</v>
      </c>
      <c r="B309" s="15" t="s">
        <v>1113</v>
      </c>
      <c r="C309" s="15" t="s">
        <v>1114</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1115</v>
      </c>
      <c r="B310" s="10" t="s">
        <v>1116</v>
      </c>
      <c r="C310" s="10" t="s">
        <v>1117</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1118</v>
      </c>
      <c r="B311" s="15" t="s">
        <v>1119</v>
      </c>
      <c r="C311" s="15" t="s">
        <v>1120</v>
      </c>
      <c r="D311" s="18"/>
      <c r="E311" s="18"/>
      <c r="F311" s="18"/>
      <c r="G311" s="18"/>
      <c r="H311" s="18"/>
      <c r="I311" s="10"/>
      <c r="J311" s="10"/>
      <c r="K311" s="18"/>
      <c r="L311" s="18"/>
      <c r="M311" s="18"/>
      <c r="N311" s="18"/>
      <c r="O311" s="18"/>
      <c r="P311" s="18"/>
      <c r="Q311" s="10"/>
      <c r="R311" s="10"/>
      <c r="S311" s="18"/>
      <c r="T311" s="18"/>
      <c r="U311" s="18"/>
      <c r="V311" s="18"/>
      <c r="W311" s="18"/>
      <c r="X311" s="18"/>
    </row>
    <row r="312">
      <c r="A312" s="15" t="s">
        <v>1121</v>
      </c>
      <c r="B312" s="15" t="s">
        <v>1122</v>
      </c>
      <c r="C312" s="15" t="s">
        <v>1123</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1124</v>
      </c>
      <c r="B313" s="15" t="s">
        <v>1125</v>
      </c>
      <c r="C313" s="15" t="s">
        <v>1126</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1127</v>
      </c>
      <c r="B314" s="15" t="s">
        <v>1128</v>
      </c>
      <c r="C314" s="15" t="s">
        <v>1129</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1130</v>
      </c>
      <c r="B315" s="15" t="s">
        <v>1131</v>
      </c>
      <c r="C315" s="15" t="s">
        <v>1132</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1133</v>
      </c>
      <c r="B316" s="10" t="s">
        <v>1134</v>
      </c>
      <c r="C316" s="10" t="s">
        <v>1135</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1136</v>
      </c>
      <c r="B317" s="10" t="s">
        <v>1137</v>
      </c>
      <c r="C317" s="10" t="s">
        <v>1138</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1139</v>
      </c>
      <c r="B318" s="15" t="s">
        <v>1140</v>
      </c>
      <c r="C318" s="15" t="s">
        <v>1141</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1142</v>
      </c>
      <c r="B319" s="10" t="s">
        <v>1143</v>
      </c>
      <c r="C319" s="10" t="s">
        <v>1144</v>
      </c>
      <c r="D319" s="18"/>
      <c r="E319" s="18"/>
      <c r="F319" s="18"/>
      <c r="G319" s="18"/>
      <c r="H319" s="18"/>
      <c r="I319" s="10"/>
      <c r="J319" s="10"/>
      <c r="K319" s="18"/>
      <c r="L319" s="18"/>
      <c r="M319" s="18"/>
      <c r="N319" s="18"/>
      <c r="O319" s="18"/>
      <c r="P319" s="18"/>
      <c r="Q319" s="10"/>
      <c r="R319" s="10"/>
      <c r="S319" s="18"/>
      <c r="T319" s="18"/>
      <c r="U319" s="18"/>
      <c r="V319" s="18"/>
      <c r="W319" s="18"/>
      <c r="X319" s="18"/>
    </row>
    <row r="320">
      <c r="A320" s="15" t="s">
        <v>1145</v>
      </c>
      <c r="B320" s="15" t="s">
        <v>1146</v>
      </c>
      <c r="C320" s="15" t="s">
        <v>1147</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1148</v>
      </c>
      <c r="B321" s="15" t="s">
        <v>1149</v>
      </c>
      <c r="C321" s="15" t="s">
        <v>1150</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1151</v>
      </c>
      <c r="B322" s="15" t="s">
        <v>1152</v>
      </c>
      <c r="C322" s="15" t="s">
        <v>1153</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1154</v>
      </c>
      <c r="B323" s="15" t="s">
        <v>1155</v>
      </c>
      <c r="C323" s="15" t="s">
        <v>1156</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1157</v>
      </c>
      <c r="B324" s="10" t="s">
        <v>1158</v>
      </c>
      <c r="C324" s="10" t="s">
        <v>1159</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1160</v>
      </c>
      <c r="B325" s="10" t="s">
        <v>1161</v>
      </c>
      <c r="C325" s="10" t="s">
        <v>1162</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1163</v>
      </c>
      <c r="B326" s="10" t="s">
        <v>1164</v>
      </c>
      <c r="C326" s="10" t="s">
        <v>1165</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1166</v>
      </c>
      <c r="B327" s="10" t="s">
        <v>1167</v>
      </c>
      <c r="C327" s="10" t="s">
        <v>1168</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1169</v>
      </c>
      <c r="B328" s="15" t="s">
        <v>1170</v>
      </c>
      <c r="C328" s="15" t="s">
        <v>1171</v>
      </c>
      <c r="D328" s="18"/>
      <c r="E328" s="18"/>
      <c r="F328" s="18"/>
      <c r="G328" s="18"/>
      <c r="H328" s="18"/>
      <c r="I328" s="10"/>
      <c r="J328" s="10"/>
      <c r="K328" s="18"/>
      <c r="L328" s="18"/>
      <c r="M328" s="18"/>
      <c r="N328" s="18"/>
      <c r="O328" s="18"/>
      <c r="P328" s="18"/>
      <c r="Q328" s="10"/>
      <c r="R328" s="10"/>
      <c r="S328" s="18"/>
      <c r="T328" s="18"/>
      <c r="U328" s="18"/>
      <c r="V328" s="18"/>
      <c r="W328" s="18"/>
      <c r="X328" s="18"/>
    </row>
    <row r="329">
      <c r="A329" s="10" t="s">
        <v>1172</v>
      </c>
      <c r="B329" s="10" t="s">
        <v>1173</v>
      </c>
      <c r="C329" s="10" t="s">
        <v>1174</v>
      </c>
      <c r="D329" s="18"/>
      <c r="E329" s="18"/>
      <c r="F329" s="18"/>
      <c r="G329" s="18"/>
      <c r="H329" s="18"/>
      <c r="I329" s="10"/>
      <c r="J329" s="10"/>
      <c r="K329" s="18"/>
      <c r="L329" s="18"/>
      <c r="M329" s="18"/>
      <c r="N329" s="18"/>
      <c r="O329" s="18"/>
      <c r="P329" s="18"/>
      <c r="Q329" s="10"/>
      <c r="R329" s="10"/>
      <c r="S329" s="18"/>
      <c r="T329" s="18"/>
      <c r="U329" s="18"/>
      <c r="V329" s="18"/>
      <c r="W329" s="18"/>
      <c r="X329" s="18"/>
    </row>
    <row r="330">
      <c r="A330" s="20" t="s">
        <v>1175</v>
      </c>
      <c r="B330" s="20" t="s">
        <v>1176</v>
      </c>
      <c r="C330" s="10" t="s">
        <v>1177</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1178</v>
      </c>
      <c r="B331" s="10" t="s">
        <v>1179</v>
      </c>
      <c r="C331" s="10" t="s">
        <v>1180</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1181</v>
      </c>
      <c r="B332" s="15" t="s">
        <v>1182</v>
      </c>
      <c r="C332" s="15" t="s">
        <v>1183</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1184</v>
      </c>
      <c r="B333" s="10" t="s">
        <v>1185</v>
      </c>
      <c r="C333" s="10" t="s">
        <v>1186</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1187</v>
      </c>
      <c r="B334" s="15" t="s">
        <v>1188</v>
      </c>
      <c r="C334" s="15" t="s">
        <v>1189</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1190</v>
      </c>
      <c r="B335" s="10" t="s">
        <v>1191</v>
      </c>
      <c r="C335" s="10" t="s">
        <v>1192</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1193</v>
      </c>
      <c r="B336" s="15" t="s">
        <v>1194</v>
      </c>
      <c r="C336" s="15" t="s">
        <v>1195</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1196</v>
      </c>
      <c r="B337" s="15" t="s">
        <v>1197</v>
      </c>
      <c r="C337" s="15" t="s">
        <v>1198</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1199</v>
      </c>
      <c r="B338" s="15" t="s">
        <v>1200</v>
      </c>
      <c r="C338" s="15" t="s">
        <v>1201</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1202</v>
      </c>
      <c r="B339" s="10" t="s">
        <v>1203</v>
      </c>
      <c r="C339" s="10" t="s">
        <v>1204</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1205</v>
      </c>
      <c r="B340" s="10" t="s">
        <v>1206</v>
      </c>
      <c r="C340" s="10" t="s">
        <v>1207</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1208</v>
      </c>
      <c r="B341" s="15" t="s">
        <v>1209</v>
      </c>
      <c r="C341" s="15" t="s">
        <v>1210</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1211</v>
      </c>
      <c r="B342" s="10" t="s">
        <v>1212</v>
      </c>
      <c r="C342" s="10" t="s">
        <v>1213</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1214</v>
      </c>
      <c r="B343" s="15" t="s">
        <v>1215</v>
      </c>
      <c r="C343" s="15" t="s">
        <v>1216</v>
      </c>
      <c r="D343" s="18"/>
      <c r="E343" s="18"/>
      <c r="F343" s="18"/>
      <c r="G343" s="18"/>
      <c r="H343" s="18"/>
      <c r="I343" s="10"/>
      <c r="J343" s="10"/>
      <c r="K343" s="10"/>
      <c r="L343" s="18"/>
      <c r="M343" s="18"/>
      <c r="N343" s="18"/>
      <c r="O343" s="18"/>
      <c r="P343" s="18"/>
      <c r="Q343" s="10"/>
      <c r="R343" s="10"/>
      <c r="S343" s="10"/>
      <c r="T343" s="18"/>
      <c r="U343" s="18"/>
      <c r="V343" s="18"/>
      <c r="W343" s="18"/>
      <c r="X343" s="18"/>
    </row>
    <row r="344">
      <c r="A344" s="15" t="s">
        <v>1217</v>
      </c>
      <c r="B344" s="15" t="s">
        <v>1217</v>
      </c>
      <c r="C344" s="15"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1219</v>
      </c>
      <c r="B345" s="15" t="s">
        <v>1220</v>
      </c>
      <c r="C345" s="15"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20" t="s">
        <v>1222</v>
      </c>
      <c r="B346" s="20" t="s">
        <v>1223</v>
      </c>
      <c r="C346" s="10"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1225</v>
      </c>
      <c r="B347" s="10" t="s">
        <v>1226</v>
      </c>
      <c r="C347" s="10"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1228</v>
      </c>
      <c r="B348" s="15" t="s">
        <v>1229</v>
      </c>
      <c r="C348" s="15" t="s">
        <v>1230</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1231</v>
      </c>
      <c r="B349" s="15" t="s">
        <v>1232</v>
      </c>
      <c r="C349" s="15" t="s">
        <v>1233</v>
      </c>
      <c r="D349" s="18"/>
      <c r="E349" s="18"/>
      <c r="F349" s="18"/>
      <c r="G349" s="18"/>
      <c r="H349" s="18"/>
      <c r="I349" s="10"/>
      <c r="J349" s="10"/>
      <c r="K349" s="18"/>
      <c r="L349" s="18"/>
      <c r="M349" s="18"/>
      <c r="N349" s="18"/>
      <c r="O349" s="18"/>
      <c r="P349" s="18"/>
      <c r="Q349" s="10"/>
      <c r="R349" s="10"/>
      <c r="S349" s="18"/>
      <c r="T349" s="18"/>
      <c r="U349" s="18"/>
      <c r="V349" s="18"/>
      <c r="W349" s="18"/>
      <c r="X349" s="18"/>
    </row>
    <row r="350">
      <c r="A350" s="15" t="s">
        <v>1234</v>
      </c>
      <c r="B350" s="15" t="s">
        <v>1235</v>
      </c>
      <c r="C350" s="15" t="s">
        <v>1236</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1237</v>
      </c>
      <c r="B351" s="10" t="s">
        <v>1238</v>
      </c>
      <c r="C351" s="10" t="s">
        <v>1239</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1240</v>
      </c>
      <c r="B352" s="10" t="s">
        <v>1241</v>
      </c>
      <c r="C352" s="10" t="s">
        <v>1242</v>
      </c>
      <c r="D352" s="18"/>
      <c r="E352" s="18"/>
      <c r="F352" s="18"/>
      <c r="G352" s="18"/>
      <c r="H352" s="18"/>
      <c r="I352" s="10"/>
      <c r="J352" s="10"/>
      <c r="K352" s="18"/>
      <c r="L352" s="18"/>
      <c r="M352" s="18"/>
      <c r="N352" s="18"/>
      <c r="O352" s="18"/>
      <c r="P352" s="18"/>
      <c r="Q352" s="10"/>
      <c r="R352" s="10"/>
      <c r="S352" s="18"/>
      <c r="T352" s="18"/>
      <c r="U352" s="18"/>
      <c r="V352" s="18"/>
      <c r="W352" s="18"/>
      <c r="X352" s="18"/>
    </row>
    <row r="353">
      <c r="A353" s="15" t="s">
        <v>1243</v>
      </c>
      <c r="B353" s="15" t="s">
        <v>1244</v>
      </c>
      <c r="C353" s="15" t="s">
        <v>1245</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1246</v>
      </c>
      <c r="B354" s="10" t="s">
        <v>1247</v>
      </c>
      <c r="C354" s="10" t="s">
        <v>1248</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1249</v>
      </c>
      <c r="B355" s="15" t="s">
        <v>1250</v>
      </c>
      <c r="C355" s="15" t="s">
        <v>1251</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1252</v>
      </c>
      <c r="B356" s="15" t="s">
        <v>1253</v>
      </c>
      <c r="C356" s="15" t="s">
        <v>1254</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1255</v>
      </c>
      <c r="B357" s="15" t="s">
        <v>1256</v>
      </c>
      <c r="C357" s="15" t="s">
        <v>1257</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1258</v>
      </c>
      <c r="B358" s="15" t="s">
        <v>1259</v>
      </c>
      <c r="C358" s="15" t="s">
        <v>1260</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1261</v>
      </c>
      <c r="B359" s="15" t="s">
        <v>1262</v>
      </c>
      <c r="C359" s="15" t="s">
        <v>1263</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1264</v>
      </c>
      <c r="B360" s="15" t="s">
        <v>1265</v>
      </c>
      <c r="C360" s="15" t="s">
        <v>1266</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1267</v>
      </c>
      <c r="B361" s="15" t="s">
        <v>1268</v>
      </c>
      <c r="C361" s="15" t="s">
        <v>1269</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1270</v>
      </c>
      <c r="B362" s="15" t="s">
        <v>1271</v>
      </c>
      <c r="C362" s="15" t="s">
        <v>1272</v>
      </c>
      <c r="D362" s="18"/>
      <c r="E362" s="18"/>
      <c r="F362" s="18"/>
      <c r="G362" s="18"/>
      <c r="H362" s="18"/>
      <c r="I362" s="10"/>
      <c r="J362" s="10"/>
      <c r="K362" s="18"/>
      <c r="L362" s="18"/>
      <c r="M362" s="18"/>
      <c r="N362" s="18"/>
      <c r="O362" s="18"/>
      <c r="P362" s="18"/>
      <c r="Q362" s="10"/>
      <c r="R362" s="10"/>
      <c r="S362" s="18"/>
      <c r="T362" s="18"/>
      <c r="U362" s="18"/>
      <c r="V362" s="18"/>
      <c r="W362" s="18"/>
      <c r="X362" s="18"/>
    </row>
    <row r="363">
      <c r="A363" s="10" t="s">
        <v>1273</v>
      </c>
      <c r="B363" s="10" t="s">
        <v>1274</v>
      </c>
      <c r="C363" s="10" t="s">
        <v>1275</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1276</v>
      </c>
      <c r="B364" s="15" t="s">
        <v>1277</v>
      </c>
      <c r="C364" s="15" t="s">
        <v>1278</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1279</v>
      </c>
      <c r="B365" s="15" t="s">
        <v>1280</v>
      </c>
      <c r="C365" s="15" t="s">
        <v>1281</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1282</v>
      </c>
      <c r="B366" s="15" t="s">
        <v>1283</v>
      </c>
      <c r="C366" s="15" t="s">
        <v>1284</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1285</v>
      </c>
      <c r="B367" s="10" t="s">
        <v>1286</v>
      </c>
      <c r="C367" s="10" t="s">
        <v>1287</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1288</v>
      </c>
      <c r="B368" s="15" t="s">
        <v>1289</v>
      </c>
      <c r="C368" s="15" t="s">
        <v>1290</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1291</v>
      </c>
      <c r="B369" s="10" t="s">
        <v>1292</v>
      </c>
      <c r="C369" s="10" t="s">
        <v>1293</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1294</v>
      </c>
      <c r="B370" s="15" t="s">
        <v>1295</v>
      </c>
      <c r="C370" s="15" t="s">
        <v>1296</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1297</v>
      </c>
      <c r="B371" s="10" t="s">
        <v>1298</v>
      </c>
      <c r="C371" s="10" t="s">
        <v>1299</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1300</v>
      </c>
      <c r="B372" s="15" t="s">
        <v>1301</v>
      </c>
      <c r="C372" s="15" t="s">
        <v>1302</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1303</v>
      </c>
      <c r="B373" s="15" t="s">
        <v>1304</v>
      </c>
      <c r="C373" s="15" t="s">
        <v>1305</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1306</v>
      </c>
      <c r="B374" s="15" t="s">
        <v>1307</v>
      </c>
      <c r="C374" s="15" t="s">
        <v>1308</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1309</v>
      </c>
      <c r="B375" s="15" t="s">
        <v>1310</v>
      </c>
      <c r="C375" s="15" t="s">
        <v>1311</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1312</v>
      </c>
      <c r="B376" s="15" t="s">
        <v>1313</v>
      </c>
      <c r="C376" s="15" t="s">
        <v>1314</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1315</v>
      </c>
      <c r="B377" s="15" t="s">
        <v>1316</v>
      </c>
      <c r="C377" s="15" t="s">
        <v>1317</v>
      </c>
      <c r="D377" s="18"/>
      <c r="E377" s="18"/>
      <c r="F377" s="18"/>
      <c r="G377" s="18"/>
      <c r="H377" s="18"/>
      <c r="I377" s="10"/>
      <c r="J377" s="10"/>
      <c r="K377" s="18"/>
      <c r="L377" s="18"/>
      <c r="M377" s="18"/>
      <c r="N377" s="18"/>
      <c r="O377" s="18"/>
      <c r="P377" s="18"/>
      <c r="Q377" s="10"/>
      <c r="R377" s="10"/>
      <c r="S377" s="18"/>
      <c r="T377" s="18"/>
      <c r="U377" s="18"/>
      <c r="V377" s="18"/>
      <c r="W377" s="18"/>
      <c r="X377" s="18"/>
    </row>
    <row r="378">
      <c r="A378" s="10" t="s">
        <v>1318</v>
      </c>
      <c r="B378" s="10" t="s">
        <v>1319</v>
      </c>
      <c r="C378" s="10" t="s">
        <v>1320</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1321</v>
      </c>
      <c r="B379" s="15" t="s">
        <v>1322</v>
      </c>
      <c r="C379" s="15" t="s">
        <v>1323</v>
      </c>
      <c r="D379" s="18"/>
      <c r="E379" s="18"/>
      <c r="F379" s="18"/>
      <c r="G379" s="18"/>
      <c r="H379" s="18"/>
      <c r="I379" s="10"/>
      <c r="J379" s="10"/>
      <c r="K379" s="18"/>
      <c r="L379" s="18"/>
      <c r="M379" s="18"/>
      <c r="N379" s="18"/>
      <c r="O379" s="18"/>
      <c r="P379" s="18"/>
      <c r="Q379" s="10"/>
      <c r="R379" s="10"/>
      <c r="S379" s="18"/>
      <c r="T379" s="18"/>
      <c r="U379" s="18"/>
      <c r="V379" s="18"/>
      <c r="W379" s="18"/>
      <c r="X379" s="18"/>
    </row>
    <row r="380">
      <c r="A380" s="10" t="s">
        <v>1324</v>
      </c>
      <c r="B380" s="10" t="s">
        <v>1325</v>
      </c>
      <c r="C380" s="10" t="s">
        <v>1326</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1327</v>
      </c>
      <c r="B381" s="15" t="s">
        <v>1328</v>
      </c>
      <c r="C381" s="15" t="s">
        <v>1329</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1330</v>
      </c>
      <c r="B382" s="15" t="s">
        <v>1331</v>
      </c>
      <c r="C382" s="15" t="s">
        <v>1332</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1333</v>
      </c>
      <c r="B383" s="15" t="s">
        <v>1334</v>
      </c>
      <c r="C383" s="15" t="s">
        <v>1335</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1336</v>
      </c>
      <c r="B384" s="15" t="s">
        <v>1337</v>
      </c>
      <c r="C384" s="15" t="s">
        <v>1338</v>
      </c>
      <c r="D384" s="18"/>
      <c r="E384" s="18"/>
      <c r="F384" s="18"/>
      <c r="G384" s="18"/>
      <c r="H384" s="18"/>
      <c r="I384" s="10"/>
      <c r="J384" s="10"/>
      <c r="K384" s="18"/>
      <c r="L384" s="18"/>
      <c r="M384" s="18"/>
      <c r="N384" s="18"/>
      <c r="O384" s="18"/>
      <c r="P384" s="18"/>
      <c r="Q384" s="10"/>
      <c r="R384" s="10"/>
      <c r="S384" s="18"/>
      <c r="T384" s="18"/>
      <c r="U384" s="18"/>
      <c r="V384" s="18"/>
      <c r="W384" s="18"/>
      <c r="X384" s="18"/>
    </row>
    <row r="385">
      <c r="A385" s="10" t="s">
        <v>1339</v>
      </c>
      <c r="B385" s="10" t="s">
        <v>1340</v>
      </c>
      <c r="C385" s="10" t="s">
        <v>1341</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1342</v>
      </c>
      <c r="B386" s="15" t="s">
        <v>1343</v>
      </c>
      <c r="C386" s="15" t="s">
        <v>1344</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1345</v>
      </c>
      <c r="B387" s="15" t="s">
        <v>1346</v>
      </c>
      <c r="C387" s="15" t="s">
        <v>1347</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1348</v>
      </c>
      <c r="B388" s="15" t="s">
        <v>1349</v>
      </c>
      <c r="C388" s="15" t="s">
        <v>1350</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1351</v>
      </c>
      <c r="B389" s="15" t="s">
        <v>1352</v>
      </c>
      <c r="C389" s="15" t="s">
        <v>1353</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1354</v>
      </c>
      <c r="B390" s="10" t="s">
        <v>1355</v>
      </c>
      <c r="C390" s="10" t="s">
        <v>1356</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1357</v>
      </c>
      <c r="B391" s="10" t="s">
        <v>1358</v>
      </c>
      <c r="C391" s="10" t="s">
        <v>1359</v>
      </c>
      <c r="D391" s="18"/>
      <c r="E391" s="18"/>
      <c r="F391" s="18"/>
      <c r="G391" s="18"/>
      <c r="H391" s="18"/>
      <c r="I391" s="10"/>
      <c r="J391" s="10"/>
      <c r="K391" s="18"/>
      <c r="L391" s="18"/>
      <c r="M391" s="18"/>
      <c r="N391" s="18"/>
      <c r="O391" s="18"/>
      <c r="P391" s="18"/>
      <c r="Q391" s="10"/>
      <c r="R391" s="10"/>
      <c r="S391" s="18"/>
      <c r="T391" s="18"/>
      <c r="U391" s="18"/>
      <c r="V391" s="18"/>
      <c r="W391" s="18"/>
      <c r="X391" s="18"/>
    </row>
    <row r="392">
      <c r="A392" s="20" t="s">
        <v>1360</v>
      </c>
      <c r="B392" s="20" t="s">
        <v>1361</v>
      </c>
      <c r="C392" s="10" t="s">
        <v>1362</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1363</v>
      </c>
      <c r="B393" s="10" t="s">
        <v>1364</v>
      </c>
      <c r="C393" s="10" t="s">
        <v>1365</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1366</v>
      </c>
      <c r="B394" s="10" t="s">
        <v>1367</v>
      </c>
      <c r="C394" s="10" t="s">
        <v>1368</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1369</v>
      </c>
      <c r="B395" s="10" t="s">
        <v>1370</v>
      </c>
      <c r="C395" s="10" t="s">
        <v>1371</v>
      </c>
      <c r="D395" s="18"/>
      <c r="E395" s="18"/>
      <c r="F395" s="18"/>
      <c r="G395" s="18"/>
      <c r="H395" s="18"/>
      <c r="I395" s="10"/>
      <c r="J395" s="10"/>
      <c r="K395" s="18"/>
      <c r="L395" s="18"/>
      <c r="M395" s="18"/>
      <c r="N395" s="18"/>
      <c r="O395" s="18"/>
      <c r="P395" s="18"/>
      <c r="Q395" s="10"/>
      <c r="R395" s="10"/>
      <c r="S395" s="18"/>
      <c r="T395" s="18"/>
      <c r="U395" s="18"/>
      <c r="V395" s="18"/>
      <c r="W395" s="18"/>
      <c r="X395" s="18"/>
    </row>
    <row r="396">
      <c r="A396" s="20" t="s">
        <v>1372</v>
      </c>
      <c r="B396" s="20" t="s">
        <v>1373</v>
      </c>
      <c r="C396" s="10" t="s">
        <v>1374</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1375</v>
      </c>
      <c r="B397" s="10" t="s">
        <v>1376</v>
      </c>
      <c r="C397" s="10" t="s">
        <v>1377</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1378</v>
      </c>
      <c r="B398" s="10" t="s">
        <v>1379</v>
      </c>
      <c r="C398" s="10" t="s">
        <v>1380</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1381</v>
      </c>
      <c r="B399" s="10" t="s">
        <v>1382</v>
      </c>
      <c r="C399" s="10" t="s">
        <v>1383</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1384</v>
      </c>
      <c r="B400" s="10" t="s">
        <v>1385</v>
      </c>
      <c r="C400" s="10" t="s">
        <v>1386</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1387</v>
      </c>
      <c r="B401" s="10" t="s">
        <v>1388</v>
      </c>
      <c r="C401" s="10" t="s">
        <v>1389</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1390</v>
      </c>
      <c r="B402" s="10" t="s">
        <v>1391</v>
      </c>
      <c r="C402" s="10" t="s">
        <v>1392</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1393</v>
      </c>
      <c r="B403" s="10" t="s">
        <v>1394</v>
      </c>
      <c r="C403" s="10" t="s">
        <v>1395</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1396</v>
      </c>
      <c r="B404" s="15" t="s">
        <v>1397</v>
      </c>
      <c r="C404" s="15" t="s">
        <v>1398</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1399</v>
      </c>
      <c r="B405" s="10" t="s">
        <v>1400</v>
      </c>
      <c r="C405" s="10" t="s">
        <v>1401</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1402</v>
      </c>
      <c r="B406" s="15" t="s">
        <v>1403</v>
      </c>
      <c r="C406" s="15" t="s">
        <v>1404</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1405</v>
      </c>
      <c r="B407" s="15" t="s">
        <v>1406</v>
      </c>
      <c r="C407" s="15" t="s">
        <v>1407</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1408</v>
      </c>
      <c r="B408" s="10" t="s">
        <v>1409</v>
      </c>
      <c r="C408" s="10" t="s">
        <v>1410</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1411</v>
      </c>
      <c r="B409" s="10" t="s">
        <v>1412</v>
      </c>
      <c r="C409" s="10" t="s">
        <v>1413</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1414</v>
      </c>
      <c r="B410" s="10" t="s">
        <v>1415</v>
      </c>
      <c r="C410" s="10" t="s">
        <v>1416</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1417</v>
      </c>
      <c r="B411" s="10" t="s">
        <v>1418</v>
      </c>
      <c r="C411" s="10" t="s">
        <v>1419</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1420</v>
      </c>
      <c r="B412" s="10" t="s">
        <v>1421</v>
      </c>
      <c r="C412" s="10" t="s">
        <v>1422</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1423</v>
      </c>
      <c r="B413" s="10" t="s">
        <v>1424</v>
      </c>
      <c r="C413" s="10" t="s">
        <v>1425</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1426</v>
      </c>
      <c r="B414" s="15" t="s">
        <v>1427</v>
      </c>
      <c r="C414" s="15" t="s">
        <v>1428</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1429</v>
      </c>
      <c r="B415" s="10" t="s">
        <v>1430</v>
      </c>
      <c r="C415" s="10" t="s">
        <v>1431</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1432</v>
      </c>
      <c r="B416" s="10" t="s">
        <v>1433</v>
      </c>
      <c r="C416" s="10" t="s">
        <v>1434</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1435</v>
      </c>
      <c r="B417" s="15" t="s">
        <v>1436</v>
      </c>
      <c r="C417" s="15" t="s">
        <v>1437</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1438</v>
      </c>
      <c r="B418" s="15" t="s">
        <v>1439</v>
      </c>
      <c r="C418" s="15" t="s">
        <v>1440</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1441</v>
      </c>
      <c r="B419" s="15" t="s">
        <v>1442</v>
      </c>
      <c r="C419" s="15" t="s">
        <v>1443</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1444</v>
      </c>
      <c r="B420" s="10" t="s">
        <v>1445</v>
      </c>
      <c r="C420" s="10" t="s">
        <v>1446</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1447</v>
      </c>
      <c r="B421" s="15" t="s">
        <v>1448</v>
      </c>
      <c r="C421" s="15" t="s">
        <v>1449</v>
      </c>
      <c r="D421" s="18"/>
      <c r="E421" s="18"/>
      <c r="F421" s="18"/>
      <c r="G421" s="18"/>
      <c r="H421" s="18"/>
      <c r="I421" s="10"/>
      <c r="J421" s="10"/>
      <c r="K421" s="18"/>
      <c r="L421" s="18"/>
      <c r="M421" s="18"/>
      <c r="N421" s="18"/>
      <c r="O421" s="18"/>
      <c r="P421" s="18"/>
      <c r="Q421" s="10"/>
      <c r="R421" s="10"/>
      <c r="S421" s="18"/>
      <c r="T421" s="18"/>
      <c r="U421" s="18"/>
      <c r="V421" s="18"/>
      <c r="W421" s="18"/>
      <c r="X421" s="18"/>
    </row>
    <row r="422">
      <c r="A422" s="20" t="s">
        <v>1450</v>
      </c>
      <c r="B422" s="20" t="s">
        <v>1451</v>
      </c>
      <c r="C422" s="10" t="s">
        <v>1452</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1453</v>
      </c>
      <c r="B423" s="15" t="s">
        <v>1454</v>
      </c>
      <c r="C423" s="15" t="s">
        <v>1455</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1456</v>
      </c>
      <c r="B424" s="15" t="s">
        <v>1457</v>
      </c>
      <c r="C424" s="15" t="s">
        <v>1458</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1459</v>
      </c>
      <c r="B425" s="15" t="s">
        <v>1460</v>
      </c>
      <c r="C425" s="15" t="s">
        <v>1461</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1462</v>
      </c>
      <c r="B426" s="10" t="s">
        <v>1463</v>
      </c>
      <c r="C426" s="10" t="s">
        <v>1464</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1465</v>
      </c>
      <c r="B427" s="10" t="s">
        <v>1466</v>
      </c>
      <c r="C427" s="10" t="s">
        <v>1467</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1468</v>
      </c>
      <c r="B428" s="15" t="s">
        <v>1469</v>
      </c>
      <c r="C428" s="15" t="s">
        <v>1470</v>
      </c>
      <c r="D428" s="18"/>
      <c r="E428" s="18"/>
      <c r="F428" s="18"/>
      <c r="G428" s="18"/>
      <c r="H428" s="18"/>
      <c r="I428" s="10"/>
      <c r="J428" s="10"/>
      <c r="K428" s="18"/>
      <c r="L428" s="18"/>
      <c r="M428" s="18"/>
      <c r="N428" s="18"/>
      <c r="O428" s="18"/>
      <c r="P428" s="18"/>
      <c r="Q428" s="10"/>
      <c r="R428" s="10"/>
      <c r="S428" s="18"/>
      <c r="T428" s="18"/>
      <c r="U428" s="18"/>
      <c r="V428" s="18"/>
      <c r="W428" s="18"/>
      <c r="X428" s="18"/>
    </row>
    <row r="429">
      <c r="A429" s="10" t="s">
        <v>1471</v>
      </c>
      <c r="B429" s="10" t="s">
        <v>1472</v>
      </c>
      <c r="C429" s="10" t="s">
        <v>1473</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1474</v>
      </c>
      <c r="B430" s="15" t="s">
        <v>1475</v>
      </c>
      <c r="C430" s="15" t="s">
        <v>1476</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1477</v>
      </c>
      <c r="B431" s="10" t="s">
        <v>1478</v>
      </c>
      <c r="C431" s="10" t="s">
        <v>1479</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1480</v>
      </c>
      <c r="B432" s="10" t="s">
        <v>1481</v>
      </c>
      <c r="C432" s="10" t="s">
        <v>1482</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1483</v>
      </c>
      <c r="B433" s="10" t="s">
        <v>1484</v>
      </c>
      <c r="C433" s="10" t="s">
        <v>1485</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1486</v>
      </c>
      <c r="B434" s="10" t="s">
        <v>1487</v>
      </c>
      <c r="C434" s="10" t="s">
        <v>1488</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1489</v>
      </c>
      <c r="B435" s="10" t="s">
        <v>1490</v>
      </c>
      <c r="C435" s="10" t="s">
        <v>1491</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1492</v>
      </c>
      <c r="B436" s="15" t="s">
        <v>1493</v>
      </c>
      <c r="C436" s="15" t="s">
        <v>1494</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1495</v>
      </c>
      <c r="B437" s="15" t="s">
        <v>1496</v>
      </c>
      <c r="C437" s="15" t="s">
        <v>1497</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1498</v>
      </c>
      <c r="B438" s="15" t="s">
        <v>1499</v>
      </c>
      <c r="C438" s="15" t="s">
        <v>1500</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1501</v>
      </c>
      <c r="B439" s="10" t="s">
        <v>1502</v>
      </c>
      <c r="C439" s="10" t="s">
        <v>1503</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1504</v>
      </c>
      <c r="B440" s="10" t="s">
        <v>1505</v>
      </c>
      <c r="C440" s="10" t="s">
        <v>1506</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1507</v>
      </c>
      <c r="B441" s="15" t="s">
        <v>1508</v>
      </c>
      <c r="C441" s="15" t="s">
        <v>1509</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1510</v>
      </c>
      <c r="B442" s="10" t="s">
        <v>1511</v>
      </c>
      <c r="C442" s="10" t="s">
        <v>1512</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1513</v>
      </c>
      <c r="B443" s="15" t="s">
        <v>1514</v>
      </c>
      <c r="C443" s="15" t="s">
        <v>1515</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1516</v>
      </c>
      <c r="B444" s="15" t="s">
        <v>1517</v>
      </c>
      <c r="C444" s="15" t="s">
        <v>1518</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1519</v>
      </c>
      <c r="B445" s="15" t="s">
        <v>1520</v>
      </c>
      <c r="C445" s="15" t="s">
        <v>1521</v>
      </c>
      <c r="D445" s="18"/>
      <c r="E445" s="18"/>
      <c r="F445" s="18"/>
      <c r="G445" s="18"/>
      <c r="H445" s="18"/>
      <c r="I445" s="15"/>
      <c r="J445" s="10"/>
      <c r="K445" s="18"/>
      <c r="L445" s="18"/>
      <c r="M445" s="18"/>
      <c r="N445" s="18"/>
      <c r="O445" s="18"/>
      <c r="P445" s="18"/>
      <c r="Q445" s="15"/>
      <c r="R445" s="10"/>
      <c r="S445" s="18"/>
      <c r="T445" s="18"/>
      <c r="U445" s="18"/>
      <c r="V445" s="18"/>
      <c r="W445" s="18"/>
      <c r="X445" s="18"/>
    </row>
    <row r="446">
      <c r="A446" s="10" t="s">
        <v>1522</v>
      </c>
      <c r="B446" s="10" t="s">
        <v>1523</v>
      </c>
      <c r="C446" s="10" t="s">
        <v>1524</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1525</v>
      </c>
      <c r="B447" s="15" t="s">
        <v>1526</v>
      </c>
      <c r="C447" s="15" t="s">
        <v>1527</v>
      </c>
      <c r="D447" s="18"/>
      <c r="E447" s="18"/>
      <c r="F447" s="18"/>
      <c r="G447" s="18"/>
      <c r="H447" s="18"/>
      <c r="I447" s="10"/>
      <c r="J447" s="10"/>
      <c r="K447" s="18"/>
      <c r="L447" s="18"/>
      <c r="M447" s="18"/>
      <c r="N447" s="18"/>
      <c r="O447" s="18"/>
      <c r="P447" s="18"/>
      <c r="Q447" s="10"/>
      <c r="R447" s="10"/>
      <c r="S447" s="18"/>
      <c r="T447" s="18"/>
      <c r="U447" s="18"/>
      <c r="V447" s="18"/>
      <c r="W447" s="18"/>
      <c r="X447" s="18"/>
    </row>
    <row r="448">
      <c r="A448" s="10" t="s">
        <v>1528</v>
      </c>
      <c r="B448" s="10" t="s">
        <v>1529</v>
      </c>
      <c r="C448" s="10" t="s">
        <v>1530</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1531</v>
      </c>
      <c r="B449" s="10" t="s">
        <v>1532</v>
      </c>
      <c r="C449" s="10" t="s">
        <v>1533</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1534</v>
      </c>
      <c r="B450" s="10" t="s">
        <v>1535</v>
      </c>
      <c r="C450" s="10" t="s">
        <v>1536</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1537</v>
      </c>
      <c r="B451" s="10" t="s">
        <v>1538</v>
      </c>
      <c r="C451" s="10" t="s">
        <v>1539</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1540</v>
      </c>
      <c r="B452" s="15" t="s">
        <v>1541</v>
      </c>
      <c r="C452" s="15" t="s">
        <v>1542</v>
      </c>
      <c r="D452" s="18"/>
      <c r="E452" s="18"/>
      <c r="F452" s="18"/>
      <c r="G452" s="18"/>
      <c r="H452" s="18"/>
      <c r="I452" s="10"/>
      <c r="J452" s="10"/>
      <c r="K452" s="10"/>
      <c r="L452" s="18"/>
      <c r="M452" s="18"/>
      <c r="N452" s="18"/>
      <c r="O452" s="18"/>
      <c r="P452" s="18"/>
      <c r="Q452" s="10"/>
      <c r="R452" s="10"/>
      <c r="S452" s="10"/>
      <c r="T452" s="18"/>
      <c r="U452" s="18"/>
      <c r="V452" s="18"/>
      <c r="W452" s="18"/>
      <c r="X452" s="18"/>
    </row>
    <row r="453">
      <c r="A453" s="15" t="s">
        <v>1543</v>
      </c>
      <c r="B453" s="15" t="s">
        <v>1544</v>
      </c>
      <c r="C453" s="15" t="s">
        <v>1545</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1546</v>
      </c>
      <c r="B454" s="10" t="s">
        <v>1547</v>
      </c>
      <c r="C454" s="10" t="s">
        <v>1548</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1549</v>
      </c>
      <c r="B455" s="10" t="s">
        <v>1550</v>
      </c>
      <c r="C455" s="10" t="s">
        <v>1551</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1552</v>
      </c>
      <c r="B456" s="10" t="s">
        <v>1553</v>
      </c>
      <c r="C456" s="10" t="s">
        <v>1554</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1555</v>
      </c>
      <c r="B457" s="15" t="s">
        <v>1556</v>
      </c>
      <c r="C457" s="15" t="s">
        <v>1557</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1558</v>
      </c>
      <c r="B458" s="10" t="s">
        <v>1559</v>
      </c>
      <c r="C458" s="10" t="s">
        <v>1560</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1561</v>
      </c>
      <c r="B459" s="15" t="s">
        <v>1561</v>
      </c>
      <c r="C459" s="15" t="s">
        <v>1562</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1563</v>
      </c>
      <c r="B460" s="15" t="s">
        <v>1563</v>
      </c>
      <c r="C460" s="15" t="s">
        <v>1564</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1565</v>
      </c>
      <c r="B461" s="15" t="s">
        <v>1566</v>
      </c>
      <c r="C461" s="15" t="s">
        <v>1567</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1568</v>
      </c>
      <c r="B462" s="15" t="s">
        <v>1569</v>
      </c>
      <c r="C462" s="15" t="s">
        <v>1570</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1571</v>
      </c>
      <c r="B463" s="15" t="s">
        <v>1572</v>
      </c>
      <c r="C463" s="15" t="s">
        <v>1573</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1574</v>
      </c>
      <c r="B464" s="10" t="s">
        <v>1575</v>
      </c>
      <c r="C464" s="10" t="s">
        <v>1576</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1577</v>
      </c>
      <c r="B465" s="10" t="s">
        <v>1578</v>
      </c>
      <c r="C465" s="10" t="s">
        <v>1579</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1580</v>
      </c>
      <c r="B466" s="15" t="s">
        <v>1581</v>
      </c>
      <c r="C466" s="15" t="s">
        <v>1582</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1583</v>
      </c>
      <c r="B467" s="10" t="s">
        <v>1584</v>
      </c>
      <c r="C467" s="10" t="s">
        <v>1585</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1586</v>
      </c>
      <c r="B468" s="15" t="s">
        <v>1587</v>
      </c>
      <c r="C468" s="15" t="s">
        <v>1588</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1589</v>
      </c>
      <c r="B469" s="15" t="s">
        <v>1590</v>
      </c>
      <c r="C469" s="15" t="s">
        <v>1591</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1592</v>
      </c>
      <c r="B470" s="15" t="s">
        <v>1593</v>
      </c>
      <c r="C470" s="15" t="s">
        <v>1594</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1595</v>
      </c>
      <c r="B471" s="10" t="s">
        <v>1596</v>
      </c>
      <c r="C471" s="10" t="s">
        <v>1597</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1598</v>
      </c>
      <c r="B472" s="15" t="s">
        <v>1599</v>
      </c>
      <c r="C472" s="15" t="s">
        <v>1600</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1601</v>
      </c>
      <c r="B473" s="10" t="s">
        <v>1602</v>
      </c>
      <c r="C473" s="10" t="s">
        <v>1603</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1604</v>
      </c>
      <c r="B474" s="10" t="s">
        <v>1605</v>
      </c>
      <c r="C474" s="10" t="s">
        <v>1606</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1607</v>
      </c>
      <c r="B475" s="10" t="s">
        <v>1608</v>
      </c>
      <c r="C475" s="10" t="s">
        <v>1609</v>
      </c>
      <c r="D475" s="18"/>
      <c r="E475" s="18"/>
      <c r="F475" s="18"/>
      <c r="G475" s="18"/>
      <c r="H475" s="18"/>
      <c r="I475" s="10"/>
      <c r="J475" s="10"/>
      <c r="K475" s="18"/>
      <c r="L475" s="18"/>
      <c r="M475" s="18"/>
      <c r="N475" s="18"/>
      <c r="O475" s="18"/>
      <c r="P475" s="18"/>
      <c r="Q475" s="10"/>
      <c r="R475" s="10"/>
      <c r="S475" s="18"/>
      <c r="T475" s="18"/>
      <c r="U475" s="18"/>
      <c r="V475" s="18"/>
      <c r="W475" s="18"/>
      <c r="X475" s="18"/>
    </row>
    <row r="476">
      <c r="A476" s="20" t="s">
        <v>1610</v>
      </c>
      <c r="B476" s="20" t="s">
        <v>1611</v>
      </c>
      <c r="C476" s="10" t="s">
        <v>1612</v>
      </c>
      <c r="D476" s="18"/>
      <c r="E476" s="18"/>
      <c r="F476" s="18"/>
      <c r="G476" s="18"/>
      <c r="H476" s="18"/>
      <c r="I476" s="10"/>
      <c r="J476" s="10"/>
      <c r="K476" s="18"/>
      <c r="L476" s="18"/>
      <c r="M476" s="18"/>
      <c r="N476" s="18"/>
      <c r="O476" s="18"/>
      <c r="P476" s="18"/>
      <c r="Q476" s="10"/>
      <c r="R476" s="10"/>
      <c r="S476" s="18"/>
      <c r="T476" s="18"/>
      <c r="U476" s="18"/>
      <c r="V476" s="18"/>
      <c r="W476" s="18"/>
      <c r="X476" s="18"/>
    </row>
    <row r="477">
      <c r="A477" s="38" t="s">
        <v>1613</v>
      </c>
      <c r="B477" s="10" t="s">
        <v>1614</v>
      </c>
      <c r="C477" s="10" t="s">
        <v>1615</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1616</v>
      </c>
      <c r="B478" s="10" t="s">
        <v>1617</v>
      </c>
      <c r="C478" s="10" t="s">
        <v>1618</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1619</v>
      </c>
      <c r="B479" s="15" t="s">
        <v>1620</v>
      </c>
      <c r="C479" s="15" t="s">
        <v>1621</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1622</v>
      </c>
      <c r="B480" s="15" t="s">
        <v>1623</v>
      </c>
      <c r="C480" s="15" t="s">
        <v>1624</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1625</v>
      </c>
      <c r="B481" s="15" t="s">
        <v>1626</v>
      </c>
      <c r="C481" s="15" t="s">
        <v>1627</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1628</v>
      </c>
      <c r="B482" s="15" t="s">
        <v>1629</v>
      </c>
      <c r="C482" s="15" t="s">
        <v>1630</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1631</v>
      </c>
      <c r="B483" s="15" t="s">
        <v>1632</v>
      </c>
      <c r="C483" s="15" t="s">
        <v>1633</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1634</v>
      </c>
      <c r="B484" s="10" t="s">
        <v>1635</v>
      </c>
      <c r="C484" s="10" t="s">
        <v>1636</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1637</v>
      </c>
      <c r="B485" s="10" t="s">
        <v>1638</v>
      </c>
      <c r="C485" s="10" t="s">
        <v>1639</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1640</v>
      </c>
      <c r="B486" s="10" t="s">
        <v>1641</v>
      </c>
      <c r="C486" s="10" t="s">
        <v>1642</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1643</v>
      </c>
      <c r="B487" s="15" t="s">
        <v>1644</v>
      </c>
      <c r="C487" s="15" t="s">
        <v>1645</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1646</v>
      </c>
      <c r="B488" s="15" t="s">
        <v>1647</v>
      </c>
      <c r="C488" s="15" t="s">
        <v>1648</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1649</v>
      </c>
      <c r="B489" s="10" t="s">
        <v>1650</v>
      </c>
      <c r="C489" s="10" t="s">
        <v>1651</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1652</v>
      </c>
      <c r="B490" s="10" t="s">
        <v>1653</v>
      </c>
      <c r="C490" s="10" t="s">
        <v>1654</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1655</v>
      </c>
      <c r="B491" s="10" t="s">
        <v>1656</v>
      </c>
      <c r="C491" s="10" t="s">
        <v>1657</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1658</v>
      </c>
      <c r="B492" s="15" t="s">
        <v>1659</v>
      </c>
      <c r="C492" s="15" t="s">
        <v>1660</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1661</v>
      </c>
      <c r="B493" s="10" t="s">
        <v>1662</v>
      </c>
      <c r="C493" s="10" t="s">
        <v>1663</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1664</v>
      </c>
      <c r="B494" s="10" t="s">
        <v>1665</v>
      </c>
      <c r="C494" s="10" t="s">
        <v>1666</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1667</v>
      </c>
      <c r="B495" s="10" t="s">
        <v>1668</v>
      </c>
      <c r="C495" s="10" t="s">
        <v>1669</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1670</v>
      </c>
      <c r="B496" s="15" t="s">
        <v>1671</v>
      </c>
      <c r="C496" s="15" t="s">
        <v>1672</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1673</v>
      </c>
      <c r="B497" s="10" t="s">
        <v>1674</v>
      </c>
      <c r="C497" s="10" t="s">
        <v>1675</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1676</v>
      </c>
      <c r="B498" s="10" t="s">
        <v>1677</v>
      </c>
      <c r="C498" s="10" t="s">
        <v>1678</v>
      </c>
      <c r="D498" s="18"/>
      <c r="E498" s="18"/>
      <c r="F498" s="18"/>
      <c r="G498" s="18"/>
      <c r="H498" s="18"/>
      <c r="I498" s="10"/>
      <c r="J498" s="10"/>
      <c r="K498" s="18"/>
      <c r="L498" s="18"/>
      <c r="M498" s="18"/>
      <c r="N498" s="18"/>
      <c r="O498" s="18"/>
      <c r="P498" s="18"/>
      <c r="Q498" s="10"/>
      <c r="R498" s="10"/>
      <c r="S498" s="18"/>
      <c r="T498" s="18"/>
      <c r="U498" s="18"/>
      <c r="V498" s="18"/>
      <c r="W498" s="18"/>
      <c r="X498" s="18"/>
    </row>
    <row r="499">
      <c r="A499" s="10" t="s">
        <v>1679</v>
      </c>
      <c r="B499" s="10" t="s">
        <v>1680</v>
      </c>
      <c r="C499" s="10" t="s">
        <v>1681</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1682</v>
      </c>
      <c r="B500" s="10" t="s">
        <v>1683</v>
      </c>
      <c r="C500" s="10" t="s">
        <v>1684</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1685</v>
      </c>
      <c r="B501" s="10" t="s">
        <v>1686</v>
      </c>
      <c r="C501" s="10" t="s">
        <v>1687</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1688</v>
      </c>
      <c r="B502" s="15" t="s">
        <v>1689</v>
      </c>
      <c r="C502" s="15" t="s">
        <v>1690</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1691</v>
      </c>
      <c r="B503" s="15" t="s">
        <v>1692</v>
      </c>
      <c r="C503" s="15" t="s">
        <v>1693</v>
      </c>
      <c r="D503" s="18"/>
      <c r="E503" s="18"/>
      <c r="F503" s="18"/>
      <c r="G503" s="18"/>
      <c r="H503" s="18"/>
      <c r="I503" s="10"/>
      <c r="J503" s="10"/>
      <c r="K503" s="18"/>
      <c r="L503" s="18"/>
      <c r="M503" s="18"/>
      <c r="N503" s="18"/>
      <c r="O503" s="18"/>
      <c r="P503" s="18"/>
      <c r="Q503" s="10"/>
      <c r="R503" s="10"/>
      <c r="S503" s="18"/>
      <c r="T503" s="18"/>
      <c r="U503" s="18"/>
      <c r="V503" s="18"/>
      <c r="W503" s="18"/>
      <c r="X503" s="18"/>
    </row>
    <row r="504">
      <c r="A504" s="10" t="s">
        <v>1694</v>
      </c>
      <c r="B504" s="10" t="s">
        <v>1695</v>
      </c>
      <c r="C504" s="10" t="s">
        <v>1696</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1697</v>
      </c>
      <c r="B505" s="15" t="s">
        <v>1698</v>
      </c>
      <c r="C505" s="15" t="s">
        <v>1699</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1700</v>
      </c>
      <c r="B506" s="15" t="s">
        <v>1701</v>
      </c>
      <c r="C506" s="15" t="s">
        <v>1702</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1703</v>
      </c>
      <c r="B507" s="10" t="s">
        <v>1704</v>
      </c>
      <c r="C507" s="10" t="s">
        <v>1705</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1706</v>
      </c>
      <c r="B508" s="10" t="s">
        <v>1707</v>
      </c>
      <c r="C508" s="10" t="s">
        <v>1708</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1709</v>
      </c>
      <c r="B509" s="10" t="s">
        <v>1710</v>
      </c>
      <c r="C509" s="10" t="s">
        <v>1711</v>
      </c>
      <c r="D509" s="18"/>
      <c r="E509" s="18"/>
      <c r="F509" s="18"/>
      <c r="G509" s="18"/>
      <c r="H509" s="18"/>
      <c r="I509" s="10"/>
      <c r="J509" s="10"/>
      <c r="K509" s="18"/>
      <c r="L509" s="18"/>
      <c r="M509" s="18"/>
      <c r="N509" s="18"/>
      <c r="O509" s="18"/>
      <c r="P509" s="18"/>
      <c r="Q509" s="10"/>
      <c r="R509" s="10"/>
      <c r="S509" s="18"/>
      <c r="T509" s="18"/>
      <c r="U509" s="18"/>
      <c r="V509" s="18"/>
      <c r="W509" s="18"/>
      <c r="X509" s="18"/>
    </row>
    <row r="510">
      <c r="A510" s="10" t="s">
        <v>1712</v>
      </c>
      <c r="B510" s="10" t="s">
        <v>1713</v>
      </c>
      <c r="C510" s="10" t="s">
        <v>1714</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1715</v>
      </c>
      <c r="B511" s="15" t="s">
        <v>1716</v>
      </c>
      <c r="C511" s="15" t="s">
        <v>1717</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1718</v>
      </c>
      <c r="B512" s="15" t="s">
        <v>1719</v>
      </c>
      <c r="C512" s="15" t="s">
        <v>1720</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1721</v>
      </c>
      <c r="B513" s="15" t="s">
        <v>1722</v>
      </c>
      <c r="C513" s="15" t="s">
        <v>1723</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1724</v>
      </c>
      <c r="B514" s="15" t="s">
        <v>1725</v>
      </c>
      <c r="C514" s="15" t="s">
        <v>1726</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1727</v>
      </c>
      <c r="B515" s="15" t="s">
        <v>1728</v>
      </c>
      <c r="C515" s="15" t="s">
        <v>1729</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1730</v>
      </c>
      <c r="B516" s="15" t="s">
        <v>1731</v>
      </c>
      <c r="C516" s="15" t="s">
        <v>1732</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1733</v>
      </c>
      <c r="B517" s="10" t="s">
        <v>1734</v>
      </c>
      <c r="C517" s="10" t="s">
        <v>1735</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1736</v>
      </c>
      <c r="B518" s="15" t="s">
        <v>1737</v>
      </c>
      <c r="C518" s="15" t="s">
        <v>1738</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1739</v>
      </c>
      <c r="B519" s="15" t="s">
        <v>1740</v>
      </c>
      <c r="C519" s="15" t="s">
        <v>1741</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1742</v>
      </c>
      <c r="B520" s="15" t="s">
        <v>1743</v>
      </c>
      <c r="C520" s="15" t="s">
        <v>1744</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1745</v>
      </c>
      <c r="B521" s="10" t="s">
        <v>1746</v>
      </c>
      <c r="C521" s="10" t="s">
        <v>1747</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1748</v>
      </c>
      <c r="B522" s="15" t="s">
        <v>1749</v>
      </c>
      <c r="C522" s="15" t="s">
        <v>1750</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1751</v>
      </c>
      <c r="B523" s="10" t="s">
        <v>1752</v>
      </c>
      <c r="C523" s="10" t="s">
        <v>1753</v>
      </c>
      <c r="D523" s="18"/>
      <c r="E523" s="18"/>
      <c r="F523" s="18"/>
      <c r="G523" s="18"/>
      <c r="H523" s="18"/>
      <c r="I523" s="10"/>
      <c r="J523" s="10"/>
      <c r="K523" s="18"/>
      <c r="L523" s="18"/>
      <c r="M523" s="18"/>
      <c r="N523" s="18"/>
      <c r="O523" s="18"/>
      <c r="P523" s="18"/>
      <c r="Q523" s="10"/>
      <c r="R523" s="10"/>
      <c r="S523" s="18"/>
      <c r="T523" s="18"/>
      <c r="U523" s="18"/>
      <c r="V523" s="18"/>
      <c r="W523" s="18"/>
      <c r="X523" s="18"/>
    </row>
    <row r="524">
      <c r="A524" s="20" t="s">
        <v>1754</v>
      </c>
      <c r="B524" s="20" t="s">
        <v>1755</v>
      </c>
      <c r="C524" s="10" t="s">
        <v>1756</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1757</v>
      </c>
      <c r="B525" s="10" t="s">
        <v>1758</v>
      </c>
      <c r="C525" s="10" t="s">
        <v>1759</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1760</v>
      </c>
      <c r="B526" s="15" t="s">
        <v>1761</v>
      </c>
      <c r="C526" s="15" t="s">
        <v>1762</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1763</v>
      </c>
      <c r="B527" s="10" t="s">
        <v>1764</v>
      </c>
      <c r="C527" s="10" t="s">
        <v>1765</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1766</v>
      </c>
      <c r="B528" s="10" t="s">
        <v>1767</v>
      </c>
      <c r="C528" s="10" t="s">
        <v>1768</v>
      </c>
      <c r="D528" s="18"/>
      <c r="E528" s="18"/>
      <c r="F528" s="18"/>
      <c r="G528" s="18"/>
      <c r="H528" s="18"/>
      <c r="I528" s="10"/>
      <c r="J528" s="10"/>
      <c r="K528" s="18"/>
      <c r="L528" s="18"/>
      <c r="M528" s="18"/>
      <c r="N528" s="18"/>
      <c r="O528" s="18"/>
      <c r="P528" s="18"/>
      <c r="Q528" s="10"/>
      <c r="R528" s="10"/>
      <c r="S528" s="18"/>
      <c r="T528" s="18"/>
      <c r="U528" s="18"/>
      <c r="V528" s="18"/>
      <c r="W528" s="18"/>
      <c r="X528" s="18"/>
    </row>
    <row r="529">
      <c r="A529" s="15" t="s">
        <v>1769</v>
      </c>
      <c r="B529" s="15" t="s">
        <v>1770</v>
      </c>
      <c r="C529" s="15" t="s">
        <v>1771</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1772</v>
      </c>
      <c r="B530" s="15" t="s">
        <v>1773</v>
      </c>
      <c r="C530" s="15" t="s">
        <v>1774</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1775</v>
      </c>
      <c r="B531" s="15" t="s">
        <v>1776</v>
      </c>
      <c r="C531" s="15" t="s">
        <v>1777</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1778</v>
      </c>
      <c r="B532" s="15" t="s">
        <v>1779</v>
      </c>
      <c r="C532" s="15" t="s">
        <v>1780</v>
      </c>
      <c r="D532" s="18"/>
      <c r="E532" s="18"/>
      <c r="F532" s="18"/>
      <c r="G532" s="18"/>
      <c r="H532" s="18"/>
      <c r="I532" s="10"/>
      <c r="J532" s="10"/>
      <c r="K532" s="10"/>
      <c r="L532" s="18"/>
      <c r="M532" s="18"/>
      <c r="N532" s="18"/>
      <c r="O532" s="18"/>
      <c r="P532" s="18"/>
      <c r="Q532" s="10"/>
      <c r="R532" s="10"/>
      <c r="S532" s="10"/>
      <c r="T532" s="18"/>
      <c r="U532" s="18"/>
      <c r="V532" s="18"/>
      <c r="W532" s="18"/>
      <c r="X532" s="18"/>
    </row>
    <row r="533">
      <c r="A533" s="10" t="s">
        <v>1781</v>
      </c>
      <c r="B533" s="10" t="s">
        <v>1782</v>
      </c>
      <c r="C533" s="10" t="s">
        <v>1783</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1784</v>
      </c>
      <c r="B534" s="15" t="s">
        <v>1785</v>
      </c>
      <c r="C534" s="15" t="s">
        <v>1786</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1787</v>
      </c>
      <c r="B535" s="15" t="s">
        <v>1788</v>
      </c>
      <c r="C535" s="15" t="s">
        <v>1789</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1790</v>
      </c>
      <c r="B536" s="10" t="s">
        <v>1791</v>
      </c>
      <c r="C536" s="10" t="s">
        <v>1792</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1793</v>
      </c>
      <c r="B537" s="10" t="s">
        <v>1794</v>
      </c>
      <c r="C537" s="10" t="s">
        <v>1795</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1796</v>
      </c>
      <c r="B538" s="15" t="s">
        <v>1797</v>
      </c>
      <c r="C538" s="15" t="s">
        <v>1798</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1799</v>
      </c>
      <c r="B539" s="10" t="s">
        <v>1800</v>
      </c>
      <c r="C539" s="10" t="s">
        <v>1801</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1802</v>
      </c>
      <c r="B540" s="10" t="s">
        <v>1803</v>
      </c>
      <c r="C540" s="10" t="s">
        <v>1804</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1805</v>
      </c>
      <c r="B541" s="15" t="s">
        <v>1806</v>
      </c>
      <c r="C541" s="15" t="s">
        <v>1807</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1808</v>
      </c>
      <c r="B542" s="15" t="s">
        <v>1809</v>
      </c>
      <c r="C542" s="15" t="s">
        <v>1810</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1811</v>
      </c>
      <c r="B543" s="15" t="s">
        <v>1812</v>
      </c>
      <c r="C543" s="15" t="s">
        <v>1813</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1814</v>
      </c>
      <c r="B544" s="10" t="s">
        <v>1815</v>
      </c>
      <c r="C544" s="10" t="s">
        <v>1816</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1817</v>
      </c>
      <c r="B545" s="15" t="s">
        <v>1818</v>
      </c>
      <c r="C545" s="15" t="s">
        <v>1819</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1820</v>
      </c>
      <c r="B546" s="15" t="s">
        <v>1821</v>
      </c>
      <c r="C546" s="15" t="s">
        <v>1822</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1823</v>
      </c>
      <c r="B547" s="15" t="s">
        <v>1824</v>
      </c>
      <c r="C547" s="15" t="s">
        <v>1825</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1826</v>
      </c>
      <c r="B548" s="15" t="s">
        <v>1827</v>
      </c>
      <c r="C548" s="15" t="s">
        <v>1828</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1829</v>
      </c>
      <c r="B549" s="15" t="s">
        <v>1830</v>
      </c>
      <c r="C549" s="15" t="s">
        <v>1831</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1832</v>
      </c>
      <c r="B550" s="15" t="s">
        <v>1833</v>
      </c>
      <c r="C550" s="15" t="s">
        <v>1834</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1835</v>
      </c>
      <c r="B551" s="15" t="s">
        <v>1836</v>
      </c>
      <c r="C551" s="15" t="s">
        <v>1837</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1838</v>
      </c>
      <c r="B552" s="15" t="s">
        <v>1839</v>
      </c>
      <c r="C552" s="15" t="s">
        <v>1840</v>
      </c>
      <c r="D552" s="18"/>
      <c r="E552" s="18"/>
      <c r="F552" s="18"/>
      <c r="G552" s="18"/>
      <c r="H552" s="18"/>
      <c r="I552" s="20"/>
      <c r="J552" s="20"/>
      <c r="K552" s="10"/>
      <c r="L552" s="18"/>
      <c r="M552" s="18"/>
      <c r="N552" s="18"/>
      <c r="O552" s="18"/>
      <c r="P552" s="18"/>
      <c r="Q552" s="20"/>
      <c r="R552" s="20"/>
      <c r="S552" s="10"/>
      <c r="T552" s="18"/>
      <c r="U552" s="18"/>
      <c r="V552" s="18"/>
      <c r="W552" s="18"/>
      <c r="X552" s="18"/>
    </row>
    <row r="553">
      <c r="A553" s="10" t="s">
        <v>1841</v>
      </c>
      <c r="B553" s="10" t="s">
        <v>1842</v>
      </c>
      <c r="C553" s="10" t="s">
        <v>1843</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1844</v>
      </c>
      <c r="B554" s="15" t="s">
        <v>1845</v>
      </c>
      <c r="C554" s="15" t="s">
        <v>1846</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1847</v>
      </c>
      <c r="B555" s="15" t="s">
        <v>1848</v>
      </c>
      <c r="C555" s="15" t="s">
        <v>1849</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1850</v>
      </c>
      <c r="B556" s="15" t="s">
        <v>1851</v>
      </c>
      <c r="C556" s="15" t="s">
        <v>1852</v>
      </c>
      <c r="D556" s="18"/>
      <c r="E556" s="18"/>
      <c r="F556" s="18"/>
      <c r="G556" s="18"/>
      <c r="H556" s="18"/>
      <c r="I556" s="10"/>
      <c r="J556" s="10"/>
      <c r="K556" s="18"/>
      <c r="L556" s="18"/>
      <c r="M556" s="18"/>
      <c r="N556" s="18"/>
      <c r="O556" s="18"/>
      <c r="P556" s="18"/>
      <c r="Q556" s="10"/>
      <c r="R556" s="10"/>
      <c r="S556" s="18"/>
      <c r="T556" s="18"/>
      <c r="U556" s="18"/>
      <c r="V556" s="18"/>
      <c r="W556" s="18"/>
      <c r="X556" s="18"/>
    </row>
    <row r="557">
      <c r="A557" s="10" t="s">
        <v>1853</v>
      </c>
      <c r="B557" s="10" t="s">
        <v>1854</v>
      </c>
      <c r="C557" s="10" t="s">
        <v>1855</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1856</v>
      </c>
      <c r="B558" s="15" t="s">
        <v>1857</v>
      </c>
      <c r="C558" s="15" t="s">
        <v>1858</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1859</v>
      </c>
      <c r="B559" s="15" t="s">
        <v>1860</v>
      </c>
      <c r="C559" s="15" t="s">
        <v>1861</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1862</v>
      </c>
      <c r="B560" s="10" t="s">
        <v>1863</v>
      </c>
      <c r="C560" s="10" t="s">
        <v>1864</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1865</v>
      </c>
      <c r="B561" s="15" t="s">
        <v>1866</v>
      </c>
      <c r="C561" s="15" t="s">
        <v>1867</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1868</v>
      </c>
      <c r="B562" s="10" t="s">
        <v>1869</v>
      </c>
      <c r="C562" s="10" t="s">
        <v>1870</v>
      </c>
      <c r="D562" s="18"/>
      <c r="E562" s="18"/>
      <c r="F562" s="18"/>
      <c r="G562" s="18"/>
      <c r="H562" s="18"/>
      <c r="I562" s="10"/>
      <c r="J562" s="10"/>
      <c r="K562" s="18"/>
      <c r="L562" s="18"/>
      <c r="M562" s="18"/>
      <c r="N562" s="18"/>
      <c r="O562" s="18"/>
      <c r="P562" s="18"/>
      <c r="Q562" s="10"/>
      <c r="R562" s="10"/>
      <c r="S562" s="18"/>
      <c r="T562" s="18"/>
      <c r="U562" s="18"/>
      <c r="V562" s="18"/>
      <c r="W562" s="18"/>
      <c r="X562" s="18"/>
    </row>
    <row r="563">
      <c r="A563" s="10" t="s">
        <v>1871</v>
      </c>
      <c r="B563" s="10" t="s">
        <v>1872</v>
      </c>
      <c r="C563" s="10" t="s">
        <v>1873</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1874</v>
      </c>
      <c r="B564" s="15" t="s">
        <v>1875</v>
      </c>
      <c r="C564" s="15" t="s">
        <v>1876</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1877</v>
      </c>
      <c r="B565" s="15" t="s">
        <v>1878</v>
      </c>
      <c r="C565" s="15" t="s">
        <v>1879</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1880</v>
      </c>
      <c r="B566" s="10" t="s">
        <v>1881</v>
      </c>
      <c r="C566" s="10" t="s">
        <v>1882</v>
      </c>
      <c r="D566" s="18"/>
      <c r="E566" s="18"/>
      <c r="F566" s="18"/>
      <c r="G566" s="18"/>
      <c r="H566" s="18"/>
      <c r="I566" s="10"/>
      <c r="J566" s="10"/>
      <c r="K566" s="18"/>
      <c r="L566" s="18"/>
      <c r="M566" s="18"/>
      <c r="N566" s="18"/>
      <c r="O566" s="18"/>
      <c r="P566" s="18"/>
      <c r="Q566" s="10"/>
      <c r="R566" s="10"/>
      <c r="S566" s="18"/>
      <c r="T566" s="18"/>
      <c r="U566" s="18"/>
      <c r="V566" s="18"/>
      <c r="W566" s="18"/>
      <c r="X566" s="18"/>
    </row>
    <row r="567">
      <c r="A567" s="10" t="s">
        <v>1883</v>
      </c>
      <c r="B567" s="10" t="s">
        <v>1884</v>
      </c>
      <c r="C567" s="10" t="s">
        <v>1885</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1886</v>
      </c>
      <c r="B568" s="15" t="s">
        <v>1887</v>
      </c>
      <c r="C568" s="15" t="s">
        <v>1888</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1889</v>
      </c>
      <c r="B569" s="15" t="s">
        <v>1890</v>
      </c>
      <c r="C569" s="15" t="s">
        <v>1891</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1892</v>
      </c>
      <c r="B570" s="15" t="s">
        <v>1893</v>
      </c>
      <c r="C570" s="15" t="s">
        <v>1894</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1895</v>
      </c>
      <c r="B571" s="10" t="s">
        <v>1896</v>
      </c>
      <c r="C571" s="10" t="s">
        <v>1897</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1898</v>
      </c>
      <c r="B572" s="10" t="s">
        <v>1899</v>
      </c>
      <c r="C572" s="10" t="s">
        <v>1900</v>
      </c>
      <c r="D572" s="18"/>
      <c r="E572" s="18"/>
      <c r="F572" s="18"/>
      <c r="G572" s="18"/>
      <c r="H572" s="18"/>
      <c r="I572" s="10"/>
      <c r="J572" s="10"/>
      <c r="K572" s="18"/>
      <c r="L572" s="18"/>
      <c r="M572" s="18"/>
      <c r="N572" s="18"/>
      <c r="O572" s="18"/>
      <c r="P572" s="18"/>
      <c r="Q572" s="10"/>
      <c r="R572" s="10"/>
      <c r="S572" s="18"/>
      <c r="T572" s="18"/>
      <c r="U572" s="18"/>
      <c r="V572" s="18"/>
      <c r="W572" s="18"/>
      <c r="X572" s="18"/>
    </row>
    <row r="573">
      <c r="A573" s="10" t="s">
        <v>1901</v>
      </c>
      <c r="B573" s="10" t="s">
        <v>1902</v>
      </c>
      <c r="C573" s="10" t="s">
        <v>1903</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1904</v>
      </c>
      <c r="B574" s="10" t="s">
        <v>1905</v>
      </c>
      <c r="C574" s="10" t="s">
        <v>1906</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1907</v>
      </c>
      <c r="B575" s="15" t="s">
        <v>1908</v>
      </c>
      <c r="C575" s="15" t="s">
        <v>1909</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1910</v>
      </c>
      <c r="B576" s="15" t="s">
        <v>1911</v>
      </c>
      <c r="C576" s="15" t="s">
        <v>1912</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1913</v>
      </c>
      <c r="B577" s="15" t="s">
        <v>1914</v>
      </c>
      <c r="C577" s="15" t="s">
        <v>1915</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1916</v>
      </c>
      <c r="B578" s="15" t="s">
        <v>1917</v>
      </c>
      <c r="C578" s="15" t="s">
        <v>1918</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1919</v>
      </c>
      <c r="B579" s="15" t="s">
        <v>1920</v>
      </c>
      <c r="C579" s="15" t="s">
        <v>1921</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1922</v>
      </c>
      <c r="B580" s="10" t="s">
        <v>1923</v>
      </c>
      <c r="C580" s="10" t="s">
        <v>1924</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1925</v>
      </c>
      <c r="B581" s="15" t="s">
        <v>1926</v>
      </c>
      <c r="C581" s="15" t="s">
        <v>1927</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1928</v>
      </c>
      <c r="B582" s="15" t="s">
        <v>1929</v>
      </c>
      <c r="C582" s="15" t="s">
        <v>1930</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1931</v>
      </c>
      <c r="B583" s="10" t="s">
        <v>1932</v>
      </c>
      <c r="C583" s="10" t="s">
        <v>1933</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1934</v>
      </c>
      <c r="B584" s="15" t="s">
        <v>1935</v>
      </c>
      <c r="C584" s="15" t="s">
        <v>1936</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1937</v>
      </c>
      <c r="B585" s="15" t="s">
        <v>1938</v>
      </c>
      <c r="C585" s="15" t="s">
        <v>1939</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1940</v>
      </c>
      <c r="B586" s="10" t="s">
        <v>1941</v>
      </c>
      <c r="C586" s="10" t="s">
        <v>1942</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1943</v>
      </c>
      <c r="B587" s="15" t="s">
        <v>1944</v>
      </c>
      <c r="C587" s="15" t="s">
        <v>1945</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1946</v>
      </c>
      <c r="B588" s="15" t="s">
        <v>1947</v>
      </c>
      <c r="C588" s="15" t="s">
        <v>1948</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1949</v>
      </c>
      <c r="B589" s="15" t="s">
        <v>1950</v>
      </c>
      <c r="C589" s="15" t="s">
        <v>1951</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1952</v>
      </c>
      <c r="B590" s="15" t="s">
        <v>1953</v>
      </c>
      <c r="C590" s="15" t="s">
        <v>1954</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1955</v>
      </c>
      <c r="B591" s="15" t="s">
        <v>1956</v>
      </c>
      <c r="C591" s="15" t="s">
        <v>1957</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1958</v>
      </c>
      <c r="B592" s="15" t="s">
        <v>1959</v>
      </c>
      <c r="C592" s="15" t="s">
        <v>1960</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1961</v>
      </c>
      <c r="B593" s="15" t="s">
        <v>1962</v>
      </c>
      <c r="C593" s="15" t="s">
        <v>1963</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1964</v>
      </c>
      <c r="B594" s="15" t="s">
        <v>1965</v>
      </c>
      <c r="C594" s="15" t="s">
        <v>1966</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1967</v>
      </c>
      <c r="B595" s="15" t="s">
        <v>1968</v>
      </c>
      <c r="C595" s="15" t="s">
        <v>1969</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1970</v>
      </c>
      <c r="B596" s="15" t="s">
        <v>1971</v>
      </c>
      <c r="C596" s="15" t="s">
        <v>1972</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1973</v>
      </c>
      <c r="B597" s="15" t="s">
        <v>1974</v>
      </c>
      <c r="C597" s="15" t="s">
        <v>1975</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1976</v>
      </c>
      <c r="B598" s="10" t="s">
        <v>1977</v>
      </c>
      <c r="C598" s="10" t="s">
        <v>1978</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1979</v>
      </c>
      <c r="B599" s="15" t="s">
        <v>1980</v>
      </c>
      <c r="C599" s="15" t="s">
        <v>1981</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1982</v>
      </c>
      <c r="B600" s="15" t="s">
        <v>1983</v>
      </c>
      <c r="C600" s="15" t="s">
        <v>1984</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1985</v>
      </c>
      <c r="B601" s="15" t="s">
        <v>1986</v>
      </c>
      <c r="C601" s="15" t="s">
        <v>1987</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1988</v>
      </c>
      <c r="B602" s="10" t="s">
        <v>1989</v>
      </c>
      <c r="C602" s="10" t="s">
        <v>1990</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1991</v>
      </c>
      <c r="B603" s="15" t="s">
        <v>1992</v>
      </c>
      <c r="C603" s="15" t="s">
        <v>1993</v>
      </c>
      <c r="D603" s="18"/>
      <c r="E603" s="18"/>
      <c r="F603" s="18"/>
      <c r="G603" s="18"/>
      <c r="H603" s="18"/>
      <c r="I603" s="10"/>
      <c r="J603" s="10"/>
      <c r="K603" s="18"/>
      <c r="L603" s="18"/>
      <c r="M603" s="18"/>
      <c r="N603" s="18"/>
      <c r="O603" s="18"/>
      <c r="P603" s="18"/>
      <c r="Q603" s="10"/>
      <c r="R603" s="10"/>
      <c r="S603" s="18"/>
      <c r="T603" s="18"/>
      <c r="U603" s="18"/>
      <c r="V603" s="18"/>
      <c r="W603" s="18"/>
      <c r="X603" s="18"/>
    </row>
    <row r="604">
      <c r="A604" s="10" t="s">
        <v>1994</v>
      </c>
      <c r="B604" s="10" t="s">
        <v>1995</v>
      </c>
      <c r="C604" s="10" t="s">
        <v>1996</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1997</v>
      </c>
      <c r="B605" s="15" t="s">
        <v>1998</v>
      </c>
      <c r="C605" s="15" t="s">
        <v>1999</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2000</v>
      </c>
      <c r="B606" s="15" t="s">
        <v>2001</v>
      </c>
      <c r="C606" s="15" t="s">
        <v>2002</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2003</v>
      </c>
      <c r="B607" s="15" t="s">
        <v>2004</v>
      </c>
      <c r="C607" s="15" t="s">
        <v>2005</v>
      </c>
      <c r="D607" s="18"/>
      <c r="E607" s="18"/>
      <c r="F607" s="18"/>
      <c r="G607" s="18"/>
      <c r="H607" s="18"/>
      <c r="I607" s="10"/>
      <c r="J607" s="10"/>
      <c r="K607" s="18"/>
      <c r="L607" s="18"/>
      <c r="M607" s="18"/>
      <c r="N607" s="18"/>
      <c r="O607" s="18"/>
      <c r="P607" s="18"/>
      <c r="Q607" s="10"/>
      <c r="R607" s="10"/>
      <c r="S607" s="18"/>
      <c r="T607" s="18"/>
      <c r="U607" s="18"/>
      <c r="V607" s="18"/>
      <c r="W607" s="18"/>
      <c r="X607" s="18"/>
    </row>
    <row r="608">
      <c r="A608" s="10" t="s">
        <v>2006</v>
      </c>
      <c r="B608" s="10" t="s">
        <v>2007</v>
      </c>
      <c r="C608" s="10" t="s">
        <v>2008</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2009</v>
      </c>
      <c r="B609" s="15" t="s">
        <v>2010</v>
      </c>
      <c r="C609" s="15" t="s">
        <v>2011</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2012</v>
      </c>
      <c r="B610" s="10" t="s">
        <v>2013</v>
      </c>
      <c r="C610" s="10" t="s">
        <v>2014</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2015</v>
      </c>
      <c r="B611" s="10" t="s">
        <v>2016</v>
      </c>
      <c r="C611" s="10" t="s">
        <v>2017</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2018</v>
      </c>
      <c r="B612" s="10" t="s">
        <v>2019</v>
      </c>
      <c r="C612" s="10" t="s">
        <v>2020</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2021</v>
      </c>
      <c r="B613" s="10" t="s">
        <v>2022</v>
      </c>
      <c r="C613" s="10" t="s">
        <v>2023</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2024</v>
      </c>
      <c r="B614" s="10" t="s">
        <v>2025</v>
      </c>
      <c r="C614" s="10" t="s">
        <v>2026</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2027</v>
      </c>
      <c r="B615" s="10" t="s">
        <v>2028</v>
      </c>
      <c r="C615" s="10" t="s">
        <v>2029</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2030</v>
      </c>
      <c r="B616" s="15" t="s">
        <v>2031</v>
      </c>
      <c r="C616" s="15" t="s">
        <v>2032</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2033</v>
      </c>
      <c r="B617" s="15" t="s">
        <v>2034</v>
      </c>
      <c r="C617" s="15" t="s">
        <v>2035</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2036</v>
      </c>
      <c r="B618" s="15" t="s">
        <v>2037</v>
      </c>
      <c r="C618" s="15" t="s">
        <v>2038</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2039</v>
      </c>
      <c r="B619" s="15" t="s">
        <v>2040</v>
      </c>
      <c r="C619" s="15" t="s">
        <v>2041</v>
      </c>
      <c r="I619" s="8"/>
    </row>
    <row r="620">
      <c r="A620" s="10" t="s">
        <v>2042</v>
      </c>
      <c r="B620" s="10" t="s">
        <v>2043</v>
      </c>
      <c r="C620" s="10" t="s">
        <v>2044</v>
      </c>
      <c r="I620" s="8"/>
    </row>
    <row r="621">
      <c r="A621" s="10" t="s">
        <v>2045</v>
      </c>
      <c r="B621" s="10" t="s">
        <v>2046</v>
      </c>
      <c r="C621" s="10" t="s">
        <v>2047</v>
      </c>
      <c r="I621" s="8"/>
    </row>
    <row r="622">
      <c r="A622" s="15" t="s">
        <v>2048</v>
      </c>
      <c r="B622" s="15" t="s">
        <v>2049</v>
      </c>
      <c r="C622" s="15" t="s">
        <v>2050</v>
      </c>
      <c r="I622" s="8"/>
    </row>
    <row r="623">
      <c r="A623" s="10" t="s">
        <v>2051</v>
      </c>
      <c r="B623" s="10" t="s">
        <v>2052</v>
      </c>
      <c r="C623" s="10" t="s">
        <v>2053</v>
      </c>
      <c r="I623" s="8"/>
    </row>
    <row r="624">
      <c r="A624" s="15" t="s">
        <v>2054</v>
      </c>
      <c r="B624" s="15" t="s">
        <v>2055</v>
      </c>
      <c r="C624" s="15" t="s">
        <v>2056</v>
      </c>
      <c r="I624" s="8"/>
    </row>
    <row r="625">
      <c r="A625" s="10" t="s">
        <v>2057</v>
      </c>
      <c r="B625" s="10" t="s">
        <v>2058</v>
      </c>
      <c r="C625" s="10" t="s">
        <v>2059</v>
      </c>
      <c r="I625" s="8"/>
    </row>
    <row r="626">
      <c r="A626" s="15" t="s">
        <v>2060</v>
      </c>
      <c r="B626" s="15" t="s">
        <v>2061</v>
      </c>
      <c r="C626" s="15" t="s">
        <v>2062</v>
      </c>
      <c r="I626" s="8"/>
    </row>
    <row r="627">
      <c r="A627" s="15" t="s">
        <v>2063</v>
      </c>
      <c r="B627" s="15" t="s">
        <v>2064</v>
      </c>
      <c r="C627" s="15" t="s">
        <v>2065</v>
      </c>
      <c r="I627" s="8"/>
    </row>
    <row r="628">
      <c r="A628" s="15" t="s">
        <v>2066</v>
      </c>
      <c r="B628" s="15" t="s">
        <v>2067</v>
      </c>
      <c r="C628" s="15" t="s">
        <v>2068</v>
      </c>
      <c r="I628" s="8"/>
    </row>
    <row r="629">
      <c r="A629" s="10" t="s">
        <v>2069</v>
      </c>
      <c r="B629" s="10" t="s">
        <v>2070</v>
      </c>
      <c r="C629" s="10" t="s">
        <v>2071</v>
      </c>
      <c r="I629" s="8"/>
    </row>
    <row r="630">
      <c r="A630" s="15" t="s">
        <v>2072</v>
      </c>
      <c r="B630" s="15" t="s">
        <v>2073</v>
      </c>
      <c r="C630" s="15" t="s">
        <v>2074</v>
      </c>
      <c r="I630" s="8"/>
    </row>
    <row r="631">
      <c r="A631" s="10" t="s">
        <v>2075</v>
      </c>
      <c r="B631" s="10" t="s">
        <v>2076</v>
      </c>
      <c r="C631" s="10" t="s">
        <v>2077</v>
      </c>
      <c r="I631" s="8"/>
    </row>
    <row r="632">
      <c r="A632" s="10" t="s">
        <v>2078</v>
      </c>
      <c r="B632" s="10" t="s">
        <v>2079</v>
      </c>
      <c r="C632" s="10" t="s">
        <v>2080</v>
      </c>
      <c r="I632" s="8"/>
    </row>
    <row r="633">
      <c r="A633" s="15" t="s">
        <v>2081</v>
      </c>
      <c r="B633" s="15" t="s">
        <v>2082</v>
      </c>
      <c r="C633" s="15" t="s">
        <v>2083</v>
      </c>
      <c r="I633" s="8"/>
    </row>
    <row r="634">
      <c r="A634" s="15" t="s">
        <v>2084</v>
      </c>
      <c r="B634" s="15" t="s">
        <v>2085</v>
      </c>
      <c r="C634" s="15" t="s">
        <v>2086</v>
      </c>
      <c r="I634" s="8"/>
    </row>
    <row r="635">
      <c r="A635" s="15" t="s">
        <v>2087</v>
      </c>
      <c r="B635" s="15" t="s">
        <v>2088</v>
      </c>
      <c r="C635" s="15" t="s">
        <v>2089</v>
      </c>
      <c r="I635" s="8"/>
    </row>
    <row r="636">
      <c r="A636" s="10" t="s">
        <v>2090</v>
      </c>
      <c r="B636" s="10" t="s">
        <v>2091</v>
      </c>
      <c r="C636" s="10" t="s">
        <v>2092</v>
      </c>
      <c r="I636" s="8"/>
    </row>
    <row r="637">
      <c r="A637" s="15" t="s">
        <v>2093</v>
      </c>
      <c r="B637" s="15" t="s">
        <v>2094</v>
      </c>
      <c r="C637" s="15" t="s">
        <v>2095</v>
      </c>
      <c r="I637" s="8"/>
    </row>
    <row r="638">
      <c r="A638" s="10" t="s">
        <v>2096</v>
      </c>
      <c r="B638" s="10" t="s">
        <v>2097</v>
      </c>
      <c r="C638" s="10" t="s">
        <v>2098</v>
      </c>
      <c r="I638" s="8"/>
    </row>
    <row r="639">
      <c r="A639" s="10" t="s">
        <v>2099</v>
      </c>
      <c r="B639" s="10" t="s">
        <v>2100</v>
      </c>
      <c r="C639" s="10" t="s">
        <v>2101</v>
      </c>
      <c r="I639" s="8"/>
    </row>
    <row r="640">
      <c r="A640" s="15" t="s">
        <v>2102</v>
      </c>
      <c r="B640" s="15" t="s">
        <v>2103</v>
      </c>
      <c r="C640" s="15" t="s">
        <v>2104</v>
      </c>
      <c r="I640" s="8"/>
    </row>
    <row r="641">
      <c r="A641" s="10" t="s">
        <v>2105</v>
      </c>
      <c r="B641" s="10" t="s">
        <v>2106</v>
      </c>
      <c r="C641" s="10" t="s">
        <v>2107</v>
      </c>
      <c r="I641" s="8"/>
    </row>
    <row r="642">
      <c r="A642" s="15" t="s">
        <v>2108</v>
      </c>
      <c r="B642" s="15" t="s">
        <v>2109</v>
      </c>
      <c r="C642" s="15" t="s">
        <v>2110</v>
      </c>
      <c r="I642" s="8"/>
    </row>
    <row r="643">
      <c r="A643" s="10" t="s">
        <v>2111</v>
      </c>
      <c r="B643" s="10" t="s">
        <v>2112</v>
      </c>
      <c r="C643" s="10" t="s">
        <v>2113</v>
      </c>
      <c r="I643" s="8"/>
    </row>
    <row r="644">
      <c r="A644" s="10" t="s">
        <v>2114</v>
      </c>
      <c r="B644" s="10" t="s">
        <v>2115</v>
      </c>
      <c r="C644" s="10" t="s">
        <v>2116</v>
      </c>
      <c r="I644" s="8"/>
    </row>
    <row r="645">
      <c r="A645" s="10" t="s">
        <v>2117</v>
      </c>
      <c r="B645" s="10" t="s">
        <v>2118</v>
      </c>
      <c r="C645" s="10" t="s">
        <v>2119</v>
      </c>
      <c r="I645" s="8"/>
    </row>
    <row r="646">
      <c r="A646" s="10" t="s">
        <v>2120</v>
      </c>
      <c r="B646" s="10" t="s">
        <v>2121</v>
      </c>
      <c r="C646" s="10" t="s">
        <v>2122</v>
      </c>
      <c r="I646" s="8"/>
    </row>
    <row r="647">
      <c r="A647" s="15" t="s">
        <v>2123</v>
      </c>
      <c r="B647" s="15" t="s">
        <v>2124</v>
      </c>
      <c r="C647" s="15" t="s">
        <v>2125</v>
      </c>
      <c r="I647" s="8"/>
    </row>
    <row r="648">
      <c r="A648" s="10" t="s">
        <v>2126</v>
      </c>
      <c r="B648" s="10" t="s">
        <v>2127</v>
      </c>
      <c r="C648" s="10" t="s">
        <v>2128</v>
      </c>
      <c r="I648" s="8"/>
    </row>
    <row r="649">
      <c r="A649" s="15" t="s">
        <v>2129</v>
      </c>
      <c r="B649" s="15" t="s">
        <v>2130</v>
      </c>
      <c r="C649" s="15" t="s">
        <v>2131</v>
      </c>
      <c r="I649" s="8"/>
    </row>
    <row r="650">
      <c r="A650" s="15" t="s">
        <v>2132</v>
      </c>
      <c r="B650" s="15" t="s">
        <v>2133</v>
      </c>
      <c r="C650" s="15" t="s">
        <v>2134</v>
      </c>
      <c r="I650" s="8"/>
    </row>
    <row r="651">
      <c r="A651" s="10" t="s">
        <v>2135</v>
      </c>
      <c r="B651" s="10" t="s">
        <v>2136</v>
      </c>
      <c r="C651" s="10" t="s">
        <v>2137</v>
      </c>
      <c r="I651" s="8"/>
    </row>
    <row r="652">
      <c r="A652" s="10" t="s">
        <v>2138</v>
      </c>
      <c r="B652" s="10" t="s">
        <v>2139</v>
      </c>
      <c r="C652" s="10" t="s">
        <v>2140</v>
      </c>
      <c r="I652" s="8"/>
    </row>
    <row r="653">
      <c r="A653" s="15" t="s">
        <v>2141</v>
      </c>
      <c r="B653" s="15" t="s">
        <v>2142</v>
      </c>
      <c r="C653" s="15" t="s">
        <v>2143</v>
      </c>
      <c r="I653" s="8"/>
    </row>
    <row r="654">
      <c r="A654" s="15" t="s">
        <v>2144</v>
      </c>
      <c r="B654" s="15" t="s">
        <v>2145</v>
      </c>
      <c r="C654" s="15" t="s">
        <v>2146</v>
      </c>
      <c r="I654" s="8"/>
    </row>
    <row r="655">
      <c r="A655" s="10" t="s">
        <v>2147</v>
      </c>
      <c r="B655" s="10" t="s">
        <v>2148</v>
      </c>
      <c r="C655" s="10" t="s">
        <v>2149</v>
      </c>
      <c r="I655" s="8"/>
    </row>
    <row r="656">
      <c r="A656" s="10" t="s">
        <v>2150</v>
      </c>
      <c r="B656" s="10" t="s">
        <v>2151</v>
      </c>
      <c r="C656" s="10" t="s">
        <v>2152</v>
      </c>
      <c r="I656" s="8"/>
    </row>
    <row r="657">
      <c r="A657" s="15" t="s">
        <v>2153</v>
      </c>
      <c r="B657" s="15" t="s">
        <v>2154</v>
      </c>
      <c r="C657" s="15" t="s">
        <v>2155</v>
      </c>
      <c r="I657" s="8"/>
    </row>
    <row r="658">
      <c r="A658" s="15" t="s">
        <v>2156</v>
      </c>
      <c r="B658" s="15" t="s">
        <v>2157</v>
      </c>
      <c r="C658" s="15" t="s">
        <v>2158</v>
      </c>
      <c r="I658" s="8"/>
    </row>
    <row r="659">
      <c r="A659" s="15" t="s">
        <v>2159</v>
      </c>
      <c r="B659" s="15" t="s">
        <v>2160</v>
      </c>
      <c r="C659" s="15" t="s">
        <v>2161</v>
      </c>
      <c r="I659" s="8"/>
    </row>
    <row r="660">
      <c r="A660" s="10" t="s">
        <v>2162</v>
      </c>
      <c r="B660" s="10" t="s">
        <v>2163</v>
      </c>
      <c r="C660" s="10" t="s">
        <v>2164</v>
      </c>
      <c r="I660" s="8"/>
    </row>
    <row r="661">
      <c r="A661" s="10" t="s">
        <v>2165</v>
      </c>
      <c r="B661" s="10" t="s">
        <v>2166</v>
      </c>
      <c r="C661" s="10" t="s">
        <v>2167</v>
      </c>
      <c r="I661" s="8"/>
    </row>
    <row r="662">
      <c r="A662" s="10" t="s">
        <v>2168</v>
      </c>
      <c r="B662" s="10" t="s">
        <v>2169</v>
      </c>
      <c r="C662" s="10" t="s">
        <v>2170</v>
      </c>
      <c r="I662" s="8"/>
    </row>
    <row r="663">
      <c r="A663" s="15" t="s">
        <v>2171</v>
      </c>
      <c r="B663" s="15" t="s">
        <v>2172</v>
      </c>
      <c r="C663" s="15" t="s">
        <v>2173</v>
      </c>
      <c r="I663" s="8"/>
    </row>
    <row r="664">
      <c r="A664" s="10" t="s">
        <v>2174</v>
      </c>
      <c r="B664" s="10" t="s">
        <v>2175</v>
      </c>
      <c r="C664" s="10" t="s">
        <v>2176</v>
      </c>
      <c r="I664" s="8"/>
    </row>
    <row r="665">
      <c r="A665" s="10" t="s">
        <v>2177</v>
      </c>
      <c r="B665" s="10" t="s">
        <v>2178</v>
      </c>
      <c r="C665" s="10" t="s">
        <v>2179</v>
      </c>
      <c r="I665" s="8"/>
    </row>
    <row r="666">
      <c r="A666" s="10" t="s">
        <v>2180</v>
      </c>
      <c r="B666" s="10" t="s">
        <v>2181</v>
      </c>
      <c r="C666" s="10" t="s">
        <v>2182</v>
      </c>
      <c r="I666" s="8"/>
    </row>
    <row r="667">
      <c r="A667" s="15" t="s">
        <v>2183</v>
      </c>
      <c r="B667" s="15" t="s">
        <v>2184</v>
      </c>
      <c r="C667" s="15" t="s">
        <v>2185</v>
      </c>
      <c r="I667" s="8"/>
    </row>
    <row r="668">
      <c r="A668" s="20" t="s">
        <v>2186</v>
      </c>
      <c r="B668" s="20" t="s">
        <v>2187</v>
      </c>
      <c r="C668" s="10" t="s">
        <v>2188</v>
      </c>
      <c r="I668" s="8"/>
    </row>
    <row r="669">
      <c r="A669" s="15" t="s">
        <v>2189</v>
      </c>
      <c r="B669" s="15" t="s">
        <v>2190</v>
      </c>
      <c r="C669" s="15" t="s">
        <v>2191</v>
      </c>
      <c r="I669" s="8"/>
    </row>
    <row r="670">
      <c r="A670" s="15" t="s">
        <v>2192</v>
      </c>
      <c r="B670" s="15" t="s">
        <v>2193</v>
      </c>
      <c r="C670" s="15" t="s">
        <v>2194</v>
      </c>
      <c r="I670" s="8"/>
    </row>
    <row r="671">
      <c r="A671" s="10" t="s">
        <v>2195</v>
      </c>
      <c r="B671" s="10" t="s">
        <v>2196</v>
      </c>
      <c r="C671" s="10" t="s">
        <v>2197</v>
      </c>
      <c r="I671" s="8"/>
    </row>
    <row r="672">
      <c r="A672" s="10" t="s">
        <v>2198</v>
      </c>
      <c r="B672" s="10" t="s">
        <v>2199</v>
      </c>
      <c r="C672" s="10" t="s">
        <v>2200</v>
      </c>
      <c r="I672" s="8"/>
    </row>
    <row r="673">
      <c r="A673" s="10" t="s">
        <v>2201</v>
      </c>
      <c r="B673" s="10" t="s">
        <v>2202</v>
      </c>
      <c r="C673" s="10" t="s">
        <v>2203</v>
      </c>
      <c r="I673" s="8"/>
    </row>
    <row r="674">
      <c r="A674" s="15" t="s">
        <v>2204</v>
      </c>
      <c r="B674" s="15" t="s">
        <v>2205</v>
      </c>
      <c r="C674" s="15" t="s">
        <v>2206</v>
      </c>
      <c r="I674" s="8"/>
    </row>
    <row r="675">
      <c r="A675" s="15" t="s">
        <v>2207</v>
      </c>
      <c r="B675" s="15" t="s">
        <v>2208</v>
      </c>
      <c r="C675" s="15" t="s">
        <v>2209</v>
      </c>
      <c r="I675" s="8"/>
    </row>
    <row r="676">
      <c r="A676" s="15" t="s">
        <v>2210</v>
      </c>
      <c r="B676" s="15" t="s">
        <v>2211</v>
      </c>
      <c r="C676" s="15" t="s">
        <v>2212</v>
      </c>
      <c r="I676" s="8"/>
    </row>
    <row r="677">
      <c r="A677" s="15" t="s">
        <v>2213</v>
      </c>
      <c r="B677" s="15" t="s">
        <v>2214</v>
      </c>
      <c r="C677" s="15" t="s">
        <v>2215</v>
      </c>
      <c r="I677" s="8"/>
    </row>
    <row r="678">
      <c r="A678" s="15" t="s">
        <v>2216</v>
      </c>
      <c r="B678" s="15" t="s">
        <v>2217</v>
      </c>
      <c r="C678" s="15" t="s">
        <v>2218</v>
      </c>
      <c r="I678" s="8"/>
    </row>
    <row r="679">
      <c r="A679" s="15" t="s">
        <v>2219</v>
      </c>
      <c r="B679" s="15" t="s">
        <v>2220</v>
      </c>
      <c r="C679" s="15" t="s">
        <v>2221</v>
      </c>
      <c r="I679" s="8"/>
    </row>
    <row r="680">
      <c r="A680" s="15" t="s">
        <v>2222</v>
      </c>
      <c r="B680" s="15" t="s">
        <v>2223</v>
      </c>
      <c r="C680" s="15" t="s">
        <v>2224</v>
      </c>
      <c r="I680" s="8"/>
    </row>
    <row r="681">
      <c r="A681" s="15" t="s">
        <v>2225</v>
      </c>
      <c r="B681" s="15" t="s">
        <v>2226</v>
      </c>
      <c r="C681" s="15" t="s">
        <v>2227</v>
      </c>
      <c r="I681" s="8"/>
    </row>
    <row r="682">
      <c r="A682" s="15" t="s">
        <v>2228</v>
      </c>
      <c r="B682" s="15" t="s">
        <v>2229</v>
      </c>
      <c r="C682" s="15" t="s">
        <v>2230</v>
      </c>
      <c r="I682" s="8"/>
    </row>
    <row r="683">
      <c r="A683" s="10" t="s">
        <v>2231</v>
      </c>
      <c r="B683" s="10" t="s">
        <v>2232</v>
      </c>
      <c r="C683" s="10" t="s">
        <v>2233</v>
      </c>
      <c r="I683" s="8"/>
    </row>
    <row r="684">
      <c r="A684" s="15" t="s">
        <v>2234</v>
      </c>
      <c r="B684" s="15" t="s">
        <v>2235</v>
      </c>
      <c r="C684" s="15" t="s">
        <v>2236</v>
      </c>
      <c r="I684" s="8"/>
    </row>
    <row r="685">
      <c r="A685" s="15" t="s">
        <v>2237</v>
      </c>
      <c r="B685" s="15" t="s">
        <v>2238</v>
      </c>
      <c r="C685" s="15" t="s">
        <v>2239</v>
      </c>
      <c r="I685" s="8"/>
    </row>
    <row r="686">
      <c r="A686" s="10" t="s">
        <v>2240</v>
      </c>
      <c r="B686" s="10" t="s">
        <v>2241</v>
      </c>
      <c r="C686" s="10" t="s">
        <v>2242</v>
      </c>
      <c r="I686" s="8"/>
    </row>
    <row r="687">
      <c r="A687" s="10" t="s">
        <v>2243</v>
      </c>
      <c r="B687" s="10" t="s">
        <v>2244</v>
      </c>
      <c r="C687" s="10" t="s">
        <v>2245</v>
      </c>
      <c r="I687" s="8"/>
    </row>
    <row r="688">
      <c r="A688" s="10" t="s">
        <v>2246</v>
      </c>
      <c r="B688" s="10" t="s">
        <v>2247</v>
      </c>
      <c r="C688" s="10" t="s">
        <v>2248</v>
      </c>
      <c r="I688" s="8"/>
    </row>
    <row r="689">
      <c r="A689" s="15" t="s">
        <v>2249</v>
      </c>
      <c r="B689" s="15" t="s">
        <v>2250</v>
      </c>
      <c r="C689" s="15" t="s">
        <v>2251</v>
      </c>
      <c r="I689" s="8"/>
    </row>
    <row r="690">
      <c r="A690" s="15" t="s">
        <v>2252</v>
      </c>
      <c r="B690" s="15" t="s">
        <v>2253</v>
      </c>
      <c r="C690" s="15" t="s">
        <v>2254</v>
      </c>
      <c r="I690" s="8"/>
    </row>
    <row r="691">
      <c r="A691" s="15" t="s">
        <v>2255</v>
      </c>
      <c r="B691" s="15" t="s">
        <v>2256</v>
      </c>
      <c r="C691" s="15" t="s">
        <v>2257</v>
      </c>
      <c r="I691" s="8"/>
    </row>
    <row r="692">
      <c r="A692" s="10" t="s">
        <v>2258</v>
      </c>
      <c r="B692" s="10" t="s">
        <v>2259</v>
      </c>
      <c r="C692" s="10" t="s">
        <v>2260</v>
      </c>
      <c r="I692" s="8"/>
    </row>
    <row r="693">
      <c r="A693" s="15" t="s">
        <v>2261</v>
      </c>
      <c r="B693" s="15" t="s">
        <v>2262</v>
      </c>
      <c r="C693" s="15" t="s">
        <v>2263</v>
      </c>
      <c r="I693" s="8"/>
    </row>
    <row r="694">
      <c r="A694" s="10" t="s">
        <v>2264</v>
      </c>
      <c r="B694" s="10" t="s">
        <v>2265</v>
      </c>
      <c r="C694" s="10" t="s">
        <v>2266</v>
      </c>
      <c r="I694" s="8"/>
    </row>
    <row r="695">
      <c r="A695" s="10" t="s">
        <v>2267</v>
      </c>
      <c r="B695" s="10" t="s">
        <v>2268</v>
      </c>
      <c r="C695" s="10" t="s">
        <v>2269</v>
      </c>
      <c r="I695" s="8"/>
    </row>
    <row r="696">
      <c r="A696" s="10" t="s">
        <v>2270</v>
      </c>
      <c r="B696" s="10" t="s">
        <v>2271</v>
      </c>
      <c r="C696" s="10" t="s">
        <v>2272</v>
      </c>
      <c r="I696" s="8"/>
    </row>
    <row r="697">
      <c r="A697" s="15" t="s">
        <v>2273</v>
      </c>
      <c r="B697" s="15" t="s">
        <v>2274</v>
      </c>
      <c r="C697" s="15" t="s">
        <v>2275</v>
      </c>
      <c r="I697" s="8"/>
    </row>
    <row r="698">
      <c r="A698" s="10" t="s">
        <v>2276</v>
      </c>
      <c r="B698" s="10" t="s">
        <v>2277</v>
      </c>
      <c r="C698" s="10" t="s">
        <v>2278</v>
      </c>
      <c r="I698" s="8"/>
    </row>
    <row r="699">
      <c r="A699" s="10" t="s">
        <v>2279</v>
      </c>
      <c r="B699" s="10" t="s">
        <v>2280</v>
      </c>
      <c r="C699" s="15" t="s">
        <v>2281</v>
      </c>
      <c r="I699" s="8"/>
    </row>
    <row r="700">
      <c r="A700" s="15" t="s">
        <v>2282</v>
      </c>
      <c r="B700" s="15" t="s">
        <v>2283</v>
      </c>
      <c r="C700" s="15" t="s">
        <v>2284</v>
      </c>
      <c r="I700" s="8"/>
    </row>
    <row r="701">
      <c r="A701" s="15" t="s">
        <v>2285</v>
      </c>
      <c r="B701" s="15" t="s">
        <v>2286</v>
      </c>
      <c r="C701" s="15" t="s">
        <v>2287</v>
      </c>
      <c r="I701" s="8"/>
    </row>
    <row r="702">
      <c r="A702" s="15" t="s">
        <v>2288</v>
      </c>
      <c r="B702" s="15" t="s">
        <v>2289</v>
      </c>
      <c r="C702" s="15" t="s">
        <v>2290</v>
      </c>
      <c r="I702" s="8"/>
    </row>
    <row r="703">
      <c r="A703" s="10" t="s">
        <v>2291</v>
      </c>
      <c r="B703" s="10" t="s">
        <v>2292</v>
      </c>
      <c r="C703" s="10" t="s">
        <v>2293</v>
      </c>
      <c r="I703" s="8"/>
    </row>
    <row r="704">
      <c r="A704" s="15" t="s">
        <v>2294</v>
      </c>
      <c r="B704" s="15" t="s">
        <v>2295</v>
      </c>
      <c r="C704" s="15" t="s">
        <v>2296</v>
      </c>
      <c r="I704" s="8"/>
    </row>
    <row r="705">
      <c r="A705" s="15" t="s">
        <v>2297</v>
      </c>
      <c r="B705" s="15" t="s">
        <v>2298</v>
      </c>
      <c r="C705" s="15" t="s">
        <v>2299</v>
      </c>
      <c r="I705" s="8"/>
    </row>
    <row r="706">
      <c r="A706" s="10" t="s">
        <v>2300</v>
      </c>
      <c r="B706" s="10" t="s">
        <v>2301</v>
      </c>
      <c r="C706" s="10" t="s">
        <v>2302</v>
      </c>
      <c r="I706" s="8"/>
    </row>
    <row r="707">
      <c r="A707" s="15" t="s">
        <v>2303</v>
      </c>
      <c r="B707" s="15" t="s">
        <v>2304</v>
      </c>
      <c r="C707" s="15" t="s">
        <v>2305</v>
      </c>
      <c r="I707" s="8"/>
    </row>
    <row r="708">
      <c r="A708" s="15" t="s">
        <v>2306</v>
      </c>
      <c r="B708" s="15" t="s">
        <v>2307</v>
      </c>
      <c r="C708" s="15" t="s">
        <v>2308</v>
      </c>
      <c r="I708" s="8"/>
    </row>
    <row r="709">
      <c r="A709" s="10" t="s">
        <v>2309</v>
      </c>
      <c r="B709" s="10" t="s">
        <v>2310</v>
      </c>
      <c r="C709" s="10" t="s">
        <v>2311</v>
      </c>
      <c r="I709" s="8"/>
    </row>
    <row r="710">
      <c r="A710" s="10" t="s">
        <v>2312</v>
      </c>
      <c r="B710" s="10" t="s">
        <v>2313</v>
      </c>
      <c r="C710" s="10" t="s">
        <v>2314</v>
      </c>
      <c r="I710" s="8"/>
    </row>
    <row r="711">
      <c r="A711" s="10" t="s">
        <v>2315</v>
      </c>
      <c r="B711" s="10" t="s">
        <v>2316</v>
      </c>
      <c r="C711" s="10" t="s">
        <v>2317</v>
      </c>
      <c r="I711" s="8"/>
    </row>
    <row r="712">
      <c r="A712" s="10" t="s">
        <v>2318</v>
      </c>
      <c r="B712" s="10" t="s">
        <v>2319</v>
      </c>
      <c r="C712" s="10" t="s">
        <v>2320</v>
      </c>
      <c r="I712" s="8"/>
    </row>
    <row r="713">
      <c r="A713" s="10" t="s">
        <v>2321</v>
      </c>
      <c r="B713" s="10" t="s">
        <v>2322</v>
      </c>
      <c r="C713" s="10" t="s">
        <v>2323</v>
      </c>
      <c r="I713" s="8"/>
    </row>
    <row r="714">
      <c r="A714" s="20" t="s">
        <v>2324</v>
      </c>
      <c r="B714" s="20" t="s">
        <v>2325</v>
      </c>
      <c r="C714" s="14" t="s">
        <v>2326</v>
      </c>
      <c r="I714" s="8"/>
    </row>
    <row r="715">
      <c r="A715" s="10" t="s">
        <v>2327</v>
      </c>
      <c r="B715" s="10" t="s">
        <v>2328</v>
      </c>
      <c r="C715" s="10" t="s">
        <v>2329</v>
      </c>
      <c r="I715" s="8"/>
    </row>
    <row r="716">
      <c r="A716" s="15" t="s">
        <v>2330</v>
      </c>
      <c r="B716" s="15" t="s">
        <v>2331</v>
      </c>
      <c r="C716" s="15" t="s">
        <v>2332</v>
      </c>
      <c r="I716" s="8"/>
    </row>
    <row r="717">
      <c r="A717" s="10" t="s">
        <v>2333</v>
      </c>
      <c r="B717" s="10" t="s">
        <v>2334</v>
      </c>
      <c r="C717" s="10" t="s">
        <v>2335</v>
      </c>
      <c r="I717" s="8"/>
    </row>
    <row r="718">
      <c r="A718" s="15" t="s">
        <v>2336</v>
      </c>
      <c r="B718" s="15" t="s">
        <v>2337</v>
      </c>
      <c r="C718" s="15" t="s">
        <v>2338</v>
      </c>
      <c r="I718" s="8"/>
    </row>
    <row r="719">
      <c r="A719" s="15" t="s">
        <v>2339</v>
      </c>
      <c r="B719" s="15" t="s">
        <v>2340</v>
      </c>
      <c r="C719" s="15" t="s">
        <v>2341</v>
      </c>
      <c r="I719" s="8"/>
    </row>
    <row r="720">
      <c r="A720" s="15" t="s">
        <v>2342</v>
      </c>
      <c r="B720" s="15" t="s">
        <v>2343</v>
      </c>
      <c r="C720" s="15" t="s">
        <v>2344</v>
      </c>
      <c r="I720" s="8"/>
    </row>
    <row r="721">
      <c r="A721" s="15" t="s">
        <v>2345</v>
      </c>
      <c r="B721" s="15" t="s">
        <v>2346</v>
      </c>
      <c r="C721" s="15" t="s">
        <v>2347</v>
      </c>
      <c r="I721" s="8"/>
    </row>
    <row r="722">
      <c r="A722" s="10" t="s">
        <v>2348</v>
      </c>
      <c r="B722" s="10" t="s">
        <v>2349</v>
      </c>
      <c r="C722" s="10" t="s">
        <v>2350</v>
      </c>
      <c r="I722" s="8"/>
    </row>
    <row r="723">
      <c r="A723" s="15" t="s">
        <v>2351</v>
      </c>
      <c r="B723" s="15" t="s">
        <v>2352</v>
      </c>
      <c r="C723" s="15" t="s">
        <v>2353</v>
      </c>
      <c r="I723" s="8"/>
    </row>
    <row r="724">
      <c r="A724" s="10" t="s">
        <v>2354</v>
      </c>
      <c r="B724" s="10" t="s">
        <v>2355</v>
      </c>
      <c r="C724" s="10" t="s">
        <v>2356</v>
      </c>
      <c r="I724" s="8"/>
    </row>
    <row r="725">
      <c r="A725" s="15" t="s">
        <v>2357</v>
      </c>
      <c r="B725" s="15" t="s">
        <v>2358</v>
      </c>
      <c r="C725" s="15" t="s">
        <v>2359</v>
      </c>
      <c r="I725" s="8"/>
    </row>
    <row r="726">
      <c r="A726" s="10" t="s">
        <v>2360</v>
      </c>
      <c r="B726" s="10" t="s">
        <v>2361</v>
      </c>
      <c r="C726" s="10" t="s">
        <v>2362</v>
      </c>
      <c r="I726" s="8"/>
    </row>
    <row r="727">
      <c r="A727" s="15" t="s">
        <v>2363</v>
      </c>
      <c r="B727" s="15" t="s">
        <v>2364</v>
      </c>
      <c r="C727" s="15" t="s">
        <v>2365</v>
      </c>
      <c r="I727" s="8"/>
    </row>
    <row r="728">
      <c r="A728" s="15" t="s">
        <v>2366</v>
      </c>
      <c r="B728" s="15" t="s">
        <v>2367</v>
      </c>
      <c r="C728" s="15" t="s">
        <v>2368</v>
      </c>
      <c r="I728" s="8"/>
    </row>
    <row r="729">
      <c r="A729" s="10" t="s">
        <v>2369</v>
      </c>
      <c r="B729" s="10" t="s">
        <v>2370</v>
      </c>
      <c r="C729" s="10" t="s">
        <v>2371</v>
      </c>
      <c r="I729" s="8"/>
    </row>
    <row r="730">
      <c r="A730" s="10" t="s">
        <v>2372</v>
      </c>
      <c r="B730" s="10" t="s">
        <v>2373</v>
      </c>
      <c r="C730" s="10" t="s">
        <v>2374</v>
      </c>
      <c r="I730" s="8"/>
    </row>
    <row r="731">
      <c r="A731" s="10" t="s">
        <v>2375</v>
      </c>
      <c r="B731" s="10" t="s">
        <v>2376</v>
      </c>
      <c r="C731" s="10" t="s">
        <v>2377</v>
      </c>
      <c r="I731" s="8"/>
    </row>
    <row r="732">
      <c r="A732" s="15" t="s">
        <v>2378</v>
      </c>
      <c r="B732" s="15" t="s">
        <v>2379</v>
      </c>
      <c r="C732" s="15" t="s">
        <v>2380</v>
      </c>
      <c r="I732" s="8"/>
    </row>
    <row r="733">
      <c r="A733" s="15" t="s">
        <v>2381</v>
      </c>
      <c r="B733" s="15" t="s">
        <v>2382</v>
      </c>
      <c r="C733" s="15" t="s">
        <v>2383</v>
      </c>
      <c r="I733" s="8"/>
    </row>
    <row r="734">
      <c r="A734" s="15" t="s">
        <v>2384</v>
      </c>
      <c r="B734" s="15" t="s">
        <v>2385</v>
      </c>
      <c r="C734" s="15" t="s">
        <v>2386</v>
      </c>
      <c r="I734" s="8"/>
    </row>
    <row r="735">
      <c r="A735" s="15" t="s">
        <v>2387</v>
      </c>
      <c r="B735" s="15" t="s">
        <v>2388</v>
      </c>
      <c r="C735" s="15" t="s">
        <v>2389</v>
      </c>
      <c r="I735" s="8"/>
    </row>
    <row r="736">
      <c r="A736" s="15" t="s">
        <v>2390</v>
      </c>
      <c r="B736" s="15" t="s">
        <v>2391</v>
      </c>
      <c r="C736" s="15" t="s">
        <v>2392</v>
      </c>
      <c r="I736" s="8"/>
    </row>
    <row r="737">
      <c r="A737" s="10" t="s">
        <v>2393</v>
      </c>
      <c r="B737" s="10" t="s">
        <v>2394</v>
      </c>
      <c r="C737" s="10" t="s">
        <v>2395</v>
      </c>
      <c r="I737" s="8"/>
    </row>
    <row r="738">
      <c r="A738" s="10" t="s">
        <v>2396</v>
      </c>
      <c r="B738" s="10" t="s">
        <v>2397</v>
      </c>
      <c r="C738" s="10" t="s">
        <v>2398</v>
      </c>
      <c r="I738" s="8"/>
    </row>
    <row r="739">
      <c r="A739" s="10" t="s">
        <v>2399</v>
      </c>
      <c r="B739" s="10" t="s">
        <v>2400</v>
      </c>
      <c r="C739" s="10" t="s">
        <v>2401</v>
      </c>
      <c r="I739" s="8"/>
    </row>
    <row r="740">
      <c r="A740" s="10" t="s">
        <v>2402</v>
      </c>
      <c r="B740" s="10" t="s">
        <v>2403</v>
      </c>
      <c r="C740" s="10" t="s">
        <v>2404</v>
      </c>
      <c r="I740" s="8"/>
    </row>
    <row r="741">
      <c r="A741" s="15" t="s">
        <v>2405</v>
      </c>
      <c r="B741" s="15" t="s">
        <v>2406</v>
      </c>
      <c r="C741" s="15" t="s">
        <v>2407</v>
      </c>
      <c r="I741" s="8"/>
    </row>
    <row r="742">
      <c r="A742" s="10" t="s">
        <v>2408</v>
      </c>
      <c r="B742" s="15" t="s">
        <v>2409</v>
      </c>
      <c r="C742" s="10" t="s">
        <v>2410</v>
      </c>
      <c r="I742" s="8"/>
    </row>
    <row r="743">
      <c r="A743" s="15" t="s">
        <v>2411</v>
      </c>
      <c r="B743" s="15" t="s">
        <v>2412</v>
      </c>
      <c r="C743" s="15" t="s">
        <v>2413</v>
      </c>
      <c r="I743" s="8"/>
    </row>
    <row r="744">
      <c r="A744" s="15" t="s">
        <v>2414</v>
      </c>
      <c r="B744" s="15" t="s">
        <v>2415</v>
      </c>
      <c r="C744" s="15" t="s">
        <v>2416</v>
      </c>
      <c r="I744" s="8"/>
    </row>
    <row r="745">
      <c r="A745" s="10" t="s">
        <v>2417</v>
      </c>
      <c r="B745" s="10" t="s">
        <v>2418</v>
      </c>
      <c r="C745" s="10" t="s">
        <v>2419</v>
      </c>
      <c r="I745" s="8"/>
    </row>
    <row r="746">
      <c r="A746" s="10" t="s">
        <v>2420</v>
      </c>
      <c r="B746" s="10" t="s">
        <v>2421</v>
      </c>
      <c r="C746" s="10" t="s">
        <v>2422</v>
      </c>
      <c r="I746" s="8"/>
    </row>
    <row r="747">
      <c r="A747" s="10" t="s">
        <v>2423</v>
      </c>
      <c r="B747" s="10" t="s">
        <v>2424</v>
      </c>
      <c r="C747" s="10" t="s">
        <v>2425</v>
      </c>
      <c r="I747" s="8"/>
    </row>
    <row r="748">
      <c r="A748" s="10" t="s">
        <v>2426</v>
      </c>
      <c r="B748" s="10" t="s">
        <v>2427</v>
      </c>
      <c r="C748" s="10" t="s">
        <v>2428</v>
      </c>
      <c r="I748" s="8"/>
    </row>
    <row r="749">
      <c r="A749" s="20" t="s">
        <v>2429</v>
      </c>
      <c r="B749" s="20" t="s">
        <v>2430</v>
      </c>
      <c r="C749" s="10" t="s">
        <v>2431</v>
      </c>
      <c r="I749" s="8"/>
    </row>
    <row r="750">
      <c r="A750" s="10" t="s">
        <v>2432</v>
      </c>
      <c r="B750" s="10" t="s">
        <v>2433</v>
      </c>
      <c r="C750" s="10" t="s">
        <v>2434</v>
      </c>
      <c r="I750" s="8"/>
    </row>
    <row r="751">
      <c r="A751" s="10" t="s">
        <v>2435</v>
      </c>
      <c r="B751" s="10" t="s">
        <v>2436</v>
      </c>
      <c r="C751" s="10" t="s">
        <v>2437</v>
      </c>
      <c r="I751" s="8"/>
    </row>
    <row r="752">
      <c r="A752" s="10" t="s">
        <v>2438</v>
      </c>
      <c r="B752" s="10" t="s">
        <v>2439</v>
      </c>
      <c r="C752" s="10" t="s">
        <v>2440</v>
      </c>
      <c r="I752" s="8"/>
    </row>
    <row r="753">
      <c r="A753" s="10" t="s">
        <v>2441</v>
      </c>
      <c r="B753" s="10" t="s">
        <v>2442</v>
      </c>
      <c r="C753" s="10" t="s">
        <v>2443</v>
      </c>
      <c r="I753" s="8"/>
    </row>
    <row r="754">
      <c r="A754" s="15" t="s">
        <v>2444</v>
      </c>
      <c r="B754" s="15" t="s">
        <v>2445</v>
      </c>
      <c r="C754" s="15" t="s">
        <v>2446</v>
      </c>
      <c r="I754" s="8"/>
    </row>
    <row r="755">
      <c r="A755" s="15" t="s">
        <v>2447</v>
      </c>
      <c r="B755" s="15" t="s">
        <v>2448</v>
      </c>
      <c r="C755" s="15" t="s">
        <v>2449</v>
      </c>
      <c r="I755" s="8"/>
    </row>
    <row r="756">
      <c r="A756" s="15" t="s">
        <v>2450</v>
      </c>
      <c r="B756" s="15" t="s">
        <v>2451</v>
      </c>
      <c r="C756" s="15" t="s">
        <v>2452</v>
      </c>
      <c r="I756" s="8"/>
    </row>
    <row r="757">
      <c r="A757" s="15" t="s">
        <v>2453</v>
      </c>
      <c r="B757" s="15" t="s">
        <v>2454</v>
      </c>
      <c r="C757" s="15" t="s">
        <v>2455</v>
      </c>
      <c r="I757" s="8"/>
    </row>
    <row r="758">
      <c r="A758" s="10" t="s">
        <v>2456</v>
      </c>
      <c r="B758" s="10" t="s">
        <v>2457</v>
      </c>
      <c r="C758" s="10" t="s">
        <v>2458</v>
      </c>
      <c r="I758" s="8"/>
    </row>
    <row r="759">
      <c r="A759" s="15" t="s">
        <v>2459</v>
      </c>
      <c r="B759" s="15" t="s">
        <v>2460</v>
      </c>
      <c r="C759" s="15" t="s">
        <v>2461</v>
      </c>
      <c r="I759" s="8"/>
    </row>
    <row r="760">
      <c r="A760" s="10" t="s">
        <v>2462</v>
      </c>
      <c r="B760" s="10" t="s">
        <v>2463</v>
      </c>
      <c r="C760" s="10" t="s">
        <v>2464</v>
      </c>
      <c r="I760" s="8"/>
    </row>
    <row r="761">
      <c r="A761" s="10" t="s">
        <v>2465</v>
      </c>
      <c r="B761" s="10" t="s">
        <v>2466</v>
      </c>
      <c r="C761" s="10" t="s">
        <v>2467</v>
      </c>
      <c r="I761" s="8"/>
    </row>
    <row r="762">
      <c r="A762" s="10" t="s">
        <v>2468</v>
      </c>
      <c r="B762" s="10" t="s">
        <v>2469</v>
      </c>
      <c r="C762" s="10" t="s">
        <v>2470</v>
      </c>
      <c r="I762" s="8"/>
    </row>
    <row r="763">
      <c r="A763" s="15" t="s">
        <v>2471</v>
      </c>
      <c r="B763" s="15" t="s">
        <v>2472</v>
      </c>
      <c r="C763" s="15" t="s">
        <v>2473</v>
      </c>
      <c r="I763" s="8"/>
    </row>
    <row r="764">
      <c r="A764" s="10" t="s">
        <v>2474</v>
      </c>
      <c r="B764" s="10" t="s">
        <v>2475</v>
      </c>
      <c r="C764" s="10" t="s">
        <v>2476</v>
      </c>
      <c r="I764" s="8"/>
    </row>
    <row r="765">
      <c r="A765" s="15" t="s">
        <v>2477</v>
      </c>
      <c r="B765" s="15" t="s">
        <v>2478</v>
      </c>
      <c r="C765" s="15" t="s">
        <v>2479</v>
      </c>
      <c r="I765" s="8"/>
    </row>
    <row r="766">
      <c r="A766" s="10" t="s">
        <v>2480</v>
      </c>
      <c r="B766" s="10" t="s">
        <v>2481</v>
      </c>
      <c r="C766" s="10" t="s">
        <v>2482</v>
      </c>
      <c r="I766" s="8"/>
    </row>
    <row r="767">
      <c r="A767" s="15" t="s">
        <v>2483</v>
      </c>
      <c r="B767" s="15" t="s">
        <v>2484</v>
      </c>
      <c r="C767" s="15" t="s">
        <v>2485</v>
      </c>
      <c r="I767" s="8"/>
    </row>
    <row r="768">
      <c r="A768" s="10" t="s">
        <v>2486</v>
      </c>
      <c r="B768" s="10" t="s">
        <v>2487</v>
      </c>
      <c r="C768" s="10" t="s">
        <v>2488</v>
      </c>
      <c r="I768" s="8"/>
    </row>
    <row r="769">
      <c r="A769" s="15" t="s">
        <v>2489</v>
      </c>
      <c r="B769" s="15" t="s">
        <v>2490</v>
      </c>
      <c r="C769" s="15" t="s">
        <v>2491</v>
      </c>
      <c r="I769" s="8"/>
    </row>
    <row r="770">
      <c r="A770" s="15" t="s">
        <v>2492</v>
      </c>
      <c r="B770" s="15" t="s">
        <v>2493</v>
      </c>
      <c r="C770" s="15" t="s">
        <v>2494</v>
      </c>
      <c r="I770" s="8"/>
    </row>
    <row r="771">
      <c r="A771" s="10" t="s">
        <v>2495</v>
      </c>
      <c r="B771" s="10" t="s">
        <v>2496</v>
      </c>
      <c r="C771" s="10" t="s">
        <v>2497</v>
      </c>
      <c r="I771" s="8"/>
    </row>
    <row r="772">
      <c r="A772" s="10" t="s">
        <v>2498</v>
      </c>
      <c r="B772" s="10" t="s">
        <v>2499</v>
      </c>
      <c r="C772" s="10" t="s">
        <v>2500</v>
      </c>
      <c r="I772" s="8"/>
    </row>
    <row r="773">
      <c r="A773" s="10" t="s">
        <v>2501</v>
      </c>
      <c r="B773" s="10" t="s">
        <v>2502</v>
      </c>
      <c r="C773" s="10" t="s">
        <v>2503</v>
      </c>
      <c r="I773" s="8"/>
    </row>
    <row r="774">
      <c r="A774" s="15" t="s">
        <v>2504</v>
      </c>
      <c r="B774" s="15" t="s">
        <v>2505</v>
      </c>
      <c r="C774" s="15" t="s">
        <v>2506</v>
      </c>
      <c r="I774" s="8"/>
    </row>
    <row r="775">
      <c r="A775" s="10" t="s">
        <v>2507</v>
      </c>
      <c r="B775" s="10" t="s">
        <v>2508</v>
      </c>
      <c r="C775" s="10" t="s">
        <v>2509</v>
      </c>
      <c r="I775" s="8"/>
    </row>
    <row r="776">
      <c r="A776" s="15" t="s">
        <v>2510</v>
      </c>
      <c r="B776" s="15" t="s">
        <v>2511</v>
      </c>
      <c r="C776" s="15" t="s">
        <v>2512</v>
      </c>
      <c r="I776" s="8"/>
    </row>
    <row r="777">
      <c r="A777" s="15" t="s">
        <v>2513</v>
      </c>
      <c r="B777" s="15" t="s">
        <v>2514</v>
      </c>
      <c r="C777" s="15" t="s">
        <v>2515</v>
      </c>
      <c r="I777" s="8"/>
    </row>
    <row r="778">
      <c r="A778" s="15" t="s">
        <v>2516</v>
      </c>
      <c r="B778" s="15" t="s">
        <v>2517</v>
      </c>
      <c r="C778" s="15" t="s">
        <v>2518</v>
      </c>
      <c r="I778" s="8"/>
    </row>
    <row r="779">
      <c r="A779" s="15" t="s">
        <v>2519</v>
      </c>
      <c r="B779" s="15" t="s">
        <v>2520</v>
      </c>
      <c r="C779" s="15" t="s">
        <v>2521</v>
      </c>
      <c r="I779" s="8"/>
    </row>
    <row r="780">
      <c r="A780" s="15" t="s">
        <v>2522</v>
      </c>
      <c r="B780" s="15" t="s">
        <v>2523</v>
      </c>
      <c r="C780" s="15" t="s">
        <v>2524</v>
      </c>
      <c r="I780" s="8"/>
    </row>
    <row r="781">
      <c r="A781" s="10" t="s">
        <v>2525</v>
      </c>
      <c r="B781" s="10" t="s">
        <v>2526</v>
      </c>
      <c r="C781" s="10" t="s">
        <v>2527</v>
      </c>
      <c r="I781" s="8"/>
    </row>
    <row r="782">
      <c r="A782" s="15" t="s">
        <v>2528</v>
      </c>
      <c r="B782" s="15" t="s">
        <v>2529</v>
      </c>
      <c r="C782" s="15" t="s">
        <v>2530</v>
      </c>
      <c r="I782" s="8"/>
    </row>
    <row r="783">
      <c r="A783" s="15" t="s">
        <v>2531</v>
      </c>
      <c r="B783" s="15" t="s">
        <v>2532</v>
      </c>
      <c r="C783" s="15" t="s">
        <v>2533</v>
      </c>
      <c r="I783" s="8"/>
    </row>
    <row r="784">
      <c r="A784" s="10" t="s">
        <v>2534</v>
      </c>
      <c r="B784" s="10" t="s">
        <v>2535</v>
      </c>
      <c r="C784" s="10" t="s">
        <v>2536</v>
      </c>
      <c r="I784" s="8"/>
    </row>
    <row r="785">
      <c r="A785" s="10" t="s">
        <v>2537</v>
      </c>
      <c r="B785" s="10" t="s">
        <v>2538</v>
      </c>
      <c r="C785" s="10" t="s">
        <v>2539</v>
      </c>
      <c r="I785" s="8"/>
    </row>
    <row r="786">
      <c r="A786" s="10" t="s">
        <v>2540</v>
      </c>
      <c r="B786" s="10" t="s">
        <v>2541</v>
      </c>
      <c r="C786" s="10" t="s">
        <v>2542</v>
      </c>
      <c r="I786" s="8"/>
    </row>
    <row r="787">
      <c r="A787" s="15" t="s">
        <v>2543</v>
      </c>
      <c r="B787" s="15" t="s">
        <v>2544</v>
      </c>
      <c r="C787" s="15" t="s">
        <v>2545</v>
      </c>
      <c r="I787" s="8"/>
    </row>
    <row r="788">
      <c r="A788" s="10" t="s">
        <v>2546</v>
      </c>
      <c r="B788" s="10" t="s">
        <v>2547</v>
      </c>
      <c r="C788" s="10" t="s">
        <v>2548</v>
      </c>
      <c r="I788" s="8"/>
    </row>
    <row r="789">
      <c r="A789" s="15" t="s">
        <v>2549</v>
      </c>
      <c r="B789" s="15" t="s">
        <v>2550</v>
      </c>
      <c r="C789" s="15" t="s">
        <v>2551</v>
      </c>
      <c r="I789" s="8"/>
    </row>
    <row r="790">
      <c r="A790" s="15" t="s">
        <v>2552</v>
      </c>
      <c r="B790" s="15" t="s">
        <v>2553</v>
      </c>
      <c r="C790" s="15" t="s">
        <v>2554</v>
      </c>
      <c r="I790" s="8"/>
    </row>
    <row r="791">
      <c r="A791" s="15" t="s">
        <v>2555</v>
      </c>
      <c r="B791" s="15" t="s">
        <v>2556</v>
      </c>
      <c r="C791" s="15" t="s">
        <v>2557</v>
      </c>
      <c r="I791" s="8"/>
    </row>
    <row r="792">
      <c r="A792" s="10" t="s">
        <v>2558</v>
      </c>
      <c r="B792" s="10" t="s">
        <v>2559</v>
      </c>
      <c r="C792" s="10" t="s">
        <v>2560</v>
      </c>
      <c r="I792" s="8"/>
    </row>
    <row r="793">
      <c r="A793" s="10" t="s">
        <v>2561</v>
      </c>
      <c r="B793" s="10" t="s">
        <v>2562</v>
      </c>
      <c r="C793" s="10" t="s">
        <v>2563</v>
      </c>
      <c r="I793" s="8"/>
    </row>
    <row r="794">
      <c r="A794" s="15" t="s">
        <v>2564</v>
      </c>
      <c r="B794" s="15" t="s">
        <v>2565</v>
      </c>
      <c r="C794" s="15" t="s">
        <v>2566</v>
      </c>
      <c r="I794" s="8"/>
    </row>
    <row r="795">
      <c r="A795" s="15" t="s">
        <v>2567</v>
      </c>
      <c r="B795" s="15" t="s">
        <v>2568</v>
      </c>
      <c r="C795" s="15" t="s">
        <v>2569</v>
      </c>
      <c r="I795" s="8"/>
    </row>
    <row r="796">
      <c r="A796" s="15" t="s">
        <v>2570</v>
      </c>
      <c r="B796" s="15" t="s">
        <v>2571</v>
      </c>
      <c r="C796" s="15" t="s">
        <v>2572</v>
      </c>
      <c r="I796" s="8"/>
    </row>
    <row r="797">
      <c r="A797" s="15" t="s">
        <v>2573</v>
      </c>
      <c r="B797" s="15" t="s">
        <v>2574</v>
      </c>
      <c r="C797" s="15" t="s">
        <v>2575</v>
      </c>
      <c r="I797" s="8"/>
    </row>
    <row r="798">
      <c r="A798" s="15" t="s">
        <v>2576</v>
      </c>
      <c r="B798" s="15" t="s">
        <v>2577</v>
      </c>
      <c r="C798" s="15" t="s">
        <v>2578</v>
      </c>
      <c r="I798" s="8"/>
    </row>
    <row r="799">
      <c r="A799" s="10" t="s">
        <v>2579</v>
      </c>
      <c r="B799" s="10" t="s">
        <v>2580</v>
      </c>
      <c r="C799" s="10" t="s">
        <v>2581</v>
      </c>
      <c r="I799" s="8"/>
    </row>
    <row r="800">
      <c r="A800" s="15" t="s">
        <v>2582</v>
      </c>
      <c r="B800" s="15" t="s">
        <v>2583</v>
      </c>
      <c r="C800" s="15" t="s">
        <v>2584</v>
      </c>
      <c r="I800" s="8"/>
    </row>
    <row r="801">
      <c r="A801" s="15" t="s">
        <v>2585</v>
      </c>
      <c r="B801" s="15" t="s">
        <v>2586</v>
      </c>
      <c r="C801" s="15" t="s">
        <v>2587</v>
      </c>
      <c r="I801" s="8"/>
    </row>
    <row r="802">
      <c r="A802" s="10" t="s">
        <v>2588</v>
      </c>
      <c r="B802" s="10" t="s">
        <v>2589</v>
      </c>
      <c r="C802" s="10" t="s">
        <v>2590</v>
      </c>
      <c r="I802" s="8"/>
    </row>
    <row r="803">
      <c r="A803" s="10" t="s">
        <v>2591</v>
      </c>
      <c r="B803" s="10" t="s">
        <v>2592</v>
      </c>
      <c r="C803" s="10" t="s">
        <v>2593</v>
      </c>
      <c r="I803" s="8"/>
    </row>
    <row r="804">
      <c r="A804" s="15" t="s">
        <v>2594</v>
      </c>
      <c r="B804" s="15" t="s">
        <v>2595</v>
      </c>
      <c r="C804" s="15" t="s">
        <v>2596</v>
      </c>
      <c r="I804" s="8"/>
    </row>
    <row r="805">
      <c r="A805" s="10" t="s">
        <v>2597</v>
      </c>
      <c r="B805" s="10" t="s">
        <v>2598</v>
      </c>
      <c r="C805" s="10" t="s">
        <v>2599</v>
      </c>
      <c r="I805" s="8"/>
    </row>
    <row r="806">
      <c r="A806" s="10" t="s">
        <v>2600</v>
      </c>
      <c r="B806" s="10" t="s">
        <v>2601</v>
      </c>
      <c r="C806" s="10" t="s">
        <v>2602</v>
      </c>
      <c r="I806" s="8"/>
    </row>
    <row r="807">
      <c r="A807" s="15" t="s">
        <v>2603</v>
      </c>
      <c r="B807" s="15" t="s">
        <v>2604</v>
      </c>
      <c r="C807" s="15" t="s">
        <v>2605</v>
      </c>
      <c r="I807" s="8"/>
    </row>
    <row r="808">
      <c r="A808" s="10" t="s">
        <v>2606</v>
      </c>
      <c r="B808" s="10" t="s">
        <v>2607</v>
      </c>
      <c r="C808" s="10" t="s">
        <v>2608</v>
      </c>
      <c r="I808" s="8"/>
    </row>
    <row r="809">
      <c r="A809" s="15" t="s">
        <v>2609</v>
      </c>
      <c r="B809" s="15" t="s">
        <v>2610</v>
      </c>
      <c r="C809" s="15" t="s">
        <v>2611</v>
      </c>
      <c r="I809" s="8"/>
    </row>
    <row r="810">
      <c r="A810" s="10" t="s">
        <v>2612</v>
      </c>
      <c r="B810" s="10" t="s">
        <v>2613</v>
      </c>
      <c r="C810" s="10" t="s">
        <v>2614</v>
      </c>
      <c r="I810" s="8"/>
    </row>
    <row r="811">
      <c r="A811" s="10" t="s">
        <v>2615</v>
      </c>
      <c r="B811" s="10" t="s">
        <v>2616</v>
      </c>
      <c r="C811" s="10" t="s">
        <v>2617</v>
      </c>
      <c r="I811" s="8"/>
    </row>
    <row r="812">
      <c r="A812" s="10" t="s">
        <v>2618</v>
      </c>
      <c r="B812" s="10" t="s">
        <v>2619</v>
      </c>
      <c r="C812" s="10" t="s">
        <v>2620</v>
      </c>
      <c r="I812" s="8"/>
    </row>
    <row r="813">
      <c r="A813" s="10" t="s">
        <v>2621</v>
      </c>
      <c r="B813" s="10" t="s">
        <v>2622</v>
      </c>
      <c r="C813" s="10" t="s">
        <v>2623</v>
      </c>
      <c r="I813" s="8"/>
    </row>
    <row r="814">
      <c r="A814" s="15" t="s">
        <v>2624</v>
      </c>
      <c r="B814" s="15" t="s">
        <v>2625</v>
      </c>
      <c r="C814" s="15" t="s">
        <v>2626</v>
      </c>
      <c r="I814" s="8"/>
    </row>
    <row r="815">
      <c r="A815" s="15" t="s">
        <v>2627</v>
      </c>
      <c r="B815" s="15" t="s">
        <v>2628</v>
      </c>
      <c r="C815" s="15" t="s">
        <v>2629</v>
      </c>
      <c r="I815" s="8"/>
    </row>
    <row r="816">
      <c r="A816" s="15" t="s">
        <v>2630</v>
      </c>
      <c r="B816" s="15" t="s">
        <v>2631</v>
      </c>
      <c r="C816" s="15" t="s">
        <v>2632</v>
      </c>
      <c r="I816" s="8"/>
    </row>
    <row r="817">
      <c r="A817" s="15" t="s">
        <v>2633</v>
      </c>
      <c r="B817" s="15" t="s">
        <v>2634</v>
      </c>
      <c r="C817" s="15" t="s">
        <v>2635</v>
      </c>
      <c r="I817" s="8"/>
    </row>
    <row r="818">
      <c r="A818" s="10" t="s">
        <v>2636</v>
      </c>
      <c r="B818" s="10" t="s">
        <v>2637</v>
      </c>
      <c r="C818" s="10" t="s">
        <v>2638</v>
      </c>
      <c r="I818" s="8"/>
    </row>
    <row r="819">
      <c r="A819" s="10" t="s">
        <v>2639</v>
      </c>
      <c r="B819" s="10" t="s">
        <v>2640</v>
      </c>
      <c r="C819" s="10" t="s">
        <v>2641</v>
      </c>
      <c r="I819" s="8"/>
    </row>
    <row r="820">
      <c r="A820" s="10" t="s">
        <v>2642</v>
      </c>
      <c r="B820" s="10" t="s">
        <v>2643</v>
      </c>
      <c r="C820" s="10" t="s">
        <v>2644</v>
      </c>
      <c r="I820" s="8"/>
    </row>
    <row r="821">
      <c r="A821" s="10" t="s">
        <v>2645</v>
      </c>
      <c r="B821" s="10" t="s">
        <v>2646</v>
      </c>
      <c r="C821" s="15" t="s">
        <v>2647</v>
      </c>
      <c r="I821" s="8"/>
    </row>
    <row r="822">
      <c r="A822" s="10" t="s">
        <v>2648</v>
      </c>
      <c r="B822" s="10" t="s">
        <v>2649</v>
      </c>
      <c r="C822" s="10" t="s">
        <v>2650</v>
      </c>
      <c r="I822" s="8"/>
    </row>
    <row r="823">
      <c r="A823" s="15" t="s">
        <v>2651</v>
      </c>
      <c r="B823" s="15" t="s">
        <v>2652</v>
      </c>
      <c r="C823" s="15" t="s">
        <v>2653</v>
      </c>
      <c r="I823" s="8"/>
    </row>
    <row r="824">
      <c r="A824" s="15" t="s">
        <v>2654</v>
      </c>
      <c r="B824" s="15" t="s">
        <v>2655</v>
      </c>
      <c r="C824" s="15" t="s">
        <v>2656</v>
      </c>
      <c r="I824" s="8"/>
    </row>
    <row r="825">
      <c r="A825" s="10" t="s">
        <v>2657</v>
      </c>
      <c r="B825" s="10" t="s">
        <v>2658</v>
      </c>
      <c r="C825" s="10" t="s">
        <v>2659</v>
      </c>
      <c r="I825" s="8"/>
    </row>
    <row r="826">
      <c r="A826" s="15" t="s">
        <v>2660</v>
      </c>
      <c r="B826" s="15" t="s">
        <v>2661</v>
      </c>
      <c r="C826" s="15" t="s">
        <v>2662</v>
      </c>
      <c r="I826" s="8"/>
    </row>
    <row r="827">
      <c r="A827" s="10" t="s">
        <v>2663</v>
      </c>
      <c r="B827" s="10" t="s">
        <v>2664</v>
      </c>
      <c r="C827" s="15" t="s">
        <v>2665</v>
      </c>
      <c r="I827" s="8"/>
    </row>
    <row r="828">
      <c r="A828" s="10" t="s">
        <v>2666</v>
      </c>
      <c r="B828" s="10" t="s">
        <v>2667</v>
      </c>
      <c r="C828" s="10" t="s">
        <v>2668</v>
      </c>
      <c r="I828" s="8"/>
    </row>
    <row r="829">
      <c r="A829" s="15" t="s">
        <v>2669</v>
      </c>
      <c r="B829" s="15" t="s">
        <v>2670</v>
      </c>
      <c r="C829" s="15" t="s">
        <v>2671</v>
      </c>
      <c r="I829" s="8"/>
    </row>
    <row r="830">
      <c r="A830" s="15" t="s">
        <v>2672</v>
      </c>
      <c r="B830" s="15" t="s">
        <v>2673</v>
      </c>
      <c r="C830" s="10" t="s">
        <v>2674</v>
      </c>
      <c r="I830" s="8"/>
    </row>
    <row r="831">
      <c r="A831" s="15" t="s">
        <v>2675</v>
      </c>
      <c r="B831" s="15" t="s">
        <v>2676</v>
      </c>
      <c r="C831" s="10" t="s">
        <v>2677</v>
      </c>
      <c r="I831" s="8"/>
    </row>
    <row r="832">
      <c r="A832" s="15" t="s">
        <v>2678</v>
      </c>
      <c r="B832" s="15" t="s">
        <v>2679</v>
      </c>
      <c r="C832" s="15" t="s">
        <v>2680</v>
      </c>
      <c r="I832" s="8"/>
    </row>
    <row r="833">
      <c r="A833" s="10" t="s">
        <v>2681</v>
      </c>
      <c r="B833" s="10" t="s">
        <v>2682</v>
      </c>
      <c r="C833" s="10" t="s">
        <v>2683</v>
      </c>
      <c r="I833" s="8"/>
    </row>
    <row r="834">
      <c r="A834" s="10" t="s">
        <v>2684</v>
      </c>
      <c r="B834" s="15" t="s">
        <v>2685</v>
      </c>
      <c r="C834" s="10" t="s">
        <v>2686</v>
      </c>
      <c r="I834" s="8"/>
    </row>
    <row r="835">
      <c r="A835" s="10" t="s">
        <v>2687</v>
      </c>
      <c r="B835" s="10" t="s">
        <v>2688</v>
      </c>
      <c r="C835" s="10" t="s">
        <v>2689</v>
      </c>
      <c r="I835" s="8"/>
    </row>
    <row r="836">
      <c r="A836" s="10" t="s">
        <v>2690</v>
      </c>
      <c r="B836" s="10" t="s">
        <v>2691</v>
      </c>
      <c r="C836" s="15" t="s">
        <v>2692</v>
      </c>
      <c r="I836" s="8"/>
    </row>
    <row r="837">
      <c r="A837" s="15" t="s">
        <v>2693</v>
      </c>
      <c r="B837" s="15" t="s">
        <v>2694</v>
      </c>
      <c r="C837" s="15" t="s">
        <v>2695</v>
      </c>
      <c r="I837" s="8"/>
    </row>
    <row r="838">
      <c r="A838" s="15" t="s">
        <v>2696</v>
      </c>
      <c r="B838" s="15" t="s">
        <v>2697</v>
      </c>
      <c r="C838" s="15" t="s">
        <v>2698</v>
      </c>
      <c r="I838" s="8"/>
    </row>
    <row r="839">
      <c r="A839" s="10" t="s">
        <v>2699</v>
      </c>
      <c r="B839" s="10" t="s">
        <v>2700</v>
      </c>
      <c r="C839" s="10" t="s">
        <v>2701</v>
      </c>
      <c r="I839" s="8"/>
    </row>
    <row r="840">
      <c r="A840" s="10" t="s">
        <v>2702</v>
      </c>
      <c r="B840" s="10" t="s">
        <v>2703</v>
      </c>
      <c r="C840" s="10" t="s">
        <v>2704</v>
      </c>
      <c r="I840" s="8"/>
    </row>
    <row r="841">
      <c r="A841" s="15" t="s">
        <v>2705</v>
      </c>
      <c r="B841" s="15" t="s">
        <v>2706</v>
      </c>
      <c r="C841" s="15" t="s">
        <v>2707</v>
      </c>
      <c r="I841" s="8"/>
    </row>
    <row r="842">
      <c r="A842" s="15" t="s">
        <v>2708</v>
      </c>
      <c r="B842" s="15" t="s">
        <v>2709</v>
      </c>
      <c r="C842" s="10" t="s">
        <v>2710</v>
      </c>
      <c r="I842" s="8"/>
    </row>
    <row r="843">
      <c r="A843" s="10" t="s">
        <v>2711</v>
      </c>
      <c r="B843" s="10" t="s">
        <v>2712</v>
      </c>
      <c r="C843" s="10" t="s">
        <v>2713</v>
      </c>
      <c r="I843" s="8"/>
    </row>
    <row r="844">
      <c r="A844" s="10" t="s">
        <v>2714</v>
      </c>
      <c r="B844" s="10" t="s">
        <v>2715</v>
      </c>
      <c r="C844" s="10" t="s">
        <v>2716</v>
      </c>
      <c r="I844" s="8"/>
    </row>
    <row r="845">
      <c r="A845" s="10" t="s">
        <v>2717</v>
      </c>
      <c r="B845" s="10" t="s">
        <v>2718</v>
      </c>
      <c r="C845" s="10" t="s">
        <v>2719</v>
      </c>
      <c r="I845" s="8"/>
    </row>
    <row r="846">
      <c r="A846" s="10" t="s">
        <v>2720</v>
      </c>
      <c r="B846" s="10" t="s">
        <v>2721</v>
      </c>
      <c r="C846" s="10" t="s">
        <v>2722</v>
      </c>
      <c r="I846" s="8"/>
    </row>
    <row r="847">
      <c r="A847" s="15" t="s">
        <v>2723</v>
      </c>
      <c r="B847" s="15" t="s">
        <v>2724</v>
      </c>
      <c r="C847" s="15" t="s">
        <v>2725</v>
      </c>
      <c r="I847" s="8"/>
    </row>
    <row r="848">
      <c r="A848" s="15" t="s">
        <v>2726</v>
      </c>
      <c r="B848" s="10" t="s">
        <v>2727</v>
      </c>
      <c r="C848" s="10" t="s">
        <v>2728</v>
      </c>
      <c r="I848" s="8"/>
    </row>
    <row r="849">
      <c r="A849" s="15" t="s">
        <v>2729</v>
      </c>
      <c r="B849" s="15" t="s">
        <v>2730</v>
      </c>
      <c r="C849" s="10" t="s">
        <v>2731</v>
      </c>
      <c r="I849" s="8"/>
    </row>
    <row r="850">
      <c r="A850" s="10" t="s">
        <v>2732</v>
      </c>
      <c r="B850" s="10" t="s">
        <v>2733</v>
      </c>
      <c r="C850" s="10" t="s">
        <v>2734</v>
      </c>
      <c r="I850" s="8"/>
    </row>
    <row r="851">
      <c r="A851" s="15" t="s">
        <v>2735</v>
      </c>
      <c r="B851" s="15" t="s">
        <v>2736</v>
      </c>
      <c r="C851" s="15" t="s">
        <v>2737</v>
      </c>
      <c r="I851" s="8"/>
    </row>
    <row r="852">
      <c r="A852" s="10" t="s">
        <v>2738</v>
      </c>
      <c r="B852" s="10" t="s">
        <v>2739</v>
      </c>
      <c r="C852" s="15" t="s">
        <v>2740</v>
      </c>
      <c r="I852" s="8"/>
    </row>
    <row r="853">
      <c r="A853" s="10" t="s">
        <v>2741</v>
      </c>
      <c r="B853" s="10" t="s">
        <v>2742</v>
      </c>
      <c r="C853" s="10" t="s">
        <v>2743</v>
      </c>
      <c r="I853" s="8"/>
    </row>
    <row r="854">
      <c r="A854" s="15" t="s">
        <v>2744</v>
      </c>
      <c r="B854" s="15" t="s">
        <v>2745</v>
      </c>
      <c r="C854" s="15" t="s">
        <v>2746</v>
      </c>
      <c r="I854" s="8"/>
    </row>
    <row r="855">
      <c r="A855" s="10" t="s">
        <v>2747</v>
      </c>
      <c r="B855" s="10" t="s">
        <v>2748</v>
      </c>
      <c r="C855" s="10" t="s">
        <v>2749</v>
      </c>
      <c r="I855" s="8"/>
    </row>
    <row r="856">
      <c r="A856" s="10" t="s">
        <v>2750</v>
      </c>
      <c r="B856" s="10" t="s">
        <v>2751</v>
      </c>
      <c r="C856" s="10" t="s">
        <v>2752</v>
      </c>
      <c r="I856" s="8"/>
    </row>
    <row r="857">
      <c r="A857" s="15" t="s">
        <v>2753</v>
      </c>
      <c r="B857" s="15" t="s">
        <v>2754</v>
      </c>
      <c r="C857" s="10" t="s">
        <v>2755</v>
      </c>
      <c r="I857" s="8"/>
    </row>
    <row r="858">
      <c r="A858" s="15" t="s">
        <v>2756</v>
      </c>
      <c r="B858" s="15" t="s">
        <v>2757</v>
      </c>
      <c r="C858" s="15" t="s">
        <v>2758</v>
      </c>
      <c r="I858" s="8"/>
    </row>
    <row r="859">
      <c r="A859" s="15" t="s">
        <v>2759</v>
      </c>
      <c r="B859" s="15" t="s">
        <v>2760</v>
      </c>
      <c r="C859" s="15" t="s">
        <v>2761</v>
      </c>
      <c r="I859" s="8"/>
    </row>
    <row r="860">
      <c r="A860" s="15" t="s">
        <v>2762</v>
      </c>
      <c r="B860" s="15" t="s">
        <v>2763</v>
      </c>
      <c r="C860" s="15" t="s">
        <v>2764</v>
      </c>
      <c r="I860" s="8"/>
    </row>
    <row r="861">
      <c r="A861" s="10" t="s">
        <v>2765</v>
      </c>
      <c r="B861" s="10" t="s">
        <v>2766</v>
      </c>
      <c r="C861" s="10" t="s">
        <v>2767</v>
      </c>
      <c r="I861" s="8"/>
    </row>
    <row r="862">
      <c r="A862" s="10" t="s">
        <v>2768</v>
      </c>
      <c r="B862" s="10" t="s">
        <v>2769</v>
      </c>
      <c r="C862" s="10" t="s">
        <v>2770</v>
      </c>
      <c r="I862" s="8"/>
    </row>
    <row r="863">
      <c r="A863" s="10" t="s">
        <v>2771</v>
      </c>
      <c r="B863" s="10" t="s">
        <v>2772</v>
      </c>
      <c r="C863" s="10" t="s">
        <v>2773</v>
      </c>
      <c r="I863" s="8"/>
    </row>
    <row r="864">
      <c r="A864" s="10" t="s">
        <v>2774</v>
      </c>
      <c r="B864" s="10" t="s">
        <v>2775</v>
      </c>
      <c r="C864" s="10" t="s">
        <v>2776</v>
      </c>
      <c r="I864" s="8"/>
    </row>
    <row r="865">
      <c r="A865" s="15" t="s">
        <v>2777</v>
      </c>
      <c r="B865" s="15" t="s">
        <v>2778</v>
      </c>
      <c r="C865" s="15" t="s">
        <v>2779</v>
      </c>
      <c r="I865" s="8"/>
    </row>
    <row r="866">
      <c r="A866" s="10" t="s">
        <v>2780</v>
      </c>
      <c r="B866" s="10" t="s">
        <v>2781</v>
      </c>
      <c r="C866" s="10" t="s">
        <v>2782</v>
      </c>
      <c r="I866" s="8"/>
    </row>
    <row r="867">
      <c r="A867" s="15" t="s">
        <v>2783</v>
      </c>
      <c r="B867" s="15" t="s">
        <v>2784</v>
      </c>
      <c r="C867" s="15" t="s">
        <v>2785</v>
      </c>
      <c r="I867" s="8"/>
    </row>
    <row r="868">
      <c r="A868" s="10" t="s">
        <v>2786</v>
      </c>
      <c r="B868" s="10" t="s">
        <v>2787</v>
      </c>
      <c r="C868" s="15" t="s">
        <v>2788</v>
      </c>
      <c r="I868" s="8"/>
    </row>
    <row r="869">
      <c r="A869" s="15" t="s">
        <v>2789</v>
      </c>
      <c r="B869" s="15" t="s">
        <v>2790</v>
      </c>
      <c r="C869" s="15" t="s">
        <v>2791</v>
      </c>
      <c r="I869" s="8"/>
    </row>
    <row r="870">
      <c r="A870" s="10" t="s">
        <v>2792</v>
      </c>
      <c r="B870" s="10" t="s">
        <v>2793</v>
      </c>
      <c r="C870" s="15" t="s">
        <v>2794</v>
      </c>
      <c r="I870" s="8"/>
    </row>
    <row r="871">
      <c r="A871" s="15" t="s">
        <v>2795</v>
      </c>
      <c r="B871" s="15" t="s">
        <v>2796</v>
      </c>
      <c r="C871" s="15" t="s">
        <v>2797</v>
      </c>
      <c r="I871" s="8"/>
    </row>
    <row r="872">
      <c r="A872" s="15" t="s">
        <v>2798</v>
      </c>
      <c r="B872" s="15" t="s">
        <v>2799</v>
      </c>
      <c r="C872" s="10" t="s">
        <v>2800</v>
      </c>
      <c r="I872" s="8"/>
    </row>
    <row r="873">
      <c r="A873" s="15" t="s">
        <v>2801</v>
      </c>
      <c r="B873" s="15" t="s">
        <v>2802</v>
      </c>
      <c r="C873" s="15" t="s">
        <v>2803</v>
      </c>
      <c r="I873" s="8"/>
    </row>
    <row r="874">
      <c r="A874" s="10" t="s">
        <v>2804</v>
      </c>
      <c r="B874" s="10" t="s">
        <v>2805</v>
      </c>
      <c r="C874" s="10" t="s">
        <v>2806</v>
      </c>
      <c r="I874" s="8"/>
    </row>
    <row r="875">
      <c r="A875" s="15" t="s">
        <v>2807</v>
      </c>
      <c r="B875" s="15" t="s">
        <v>2808</v>
      </c>
      <c r="C875" s="15" t="s">
        <v>2809</v>
      </c>
      <c r="I875" s="8"/>
    </row>
    <row r="876">
      <c r="A876" s="15" t="s">
        <v>2810</v>
      </c>
      <c r="B876" s="15" t="s">
        <v>2811</v>
      </c>
      <c r="C876" s="15" t="s">
        <v>2812</v>
      </c>
      <c r="I876" s="8"/>
    </row>
    <row r="877">
      <c r="A877" s="15" t="s">
        <v>2813</v>
      </c>
      <c r="B877" s="15" t="s">
        <v>2814</v>
      </c>
      <c r="C877" s="15" t="s">
        <v>2815</v>
      </c>
      <c r="I877" s="8"/>
    </row>
    <row r="878">
      <c r="A878" s="15" t="s">
        <v>2816</v>
      </c>
      <c r="B878" s="15" t="s">
        <v>2817</v>
      </c>
      <c r="C878" s="15" t="s">
        <v>2818</v>
      </c>
      <c r="I878" s="8"/>
    </row>
    <row r="879">
      <c r="A879" s="15" t="s">
        <v>2819</v>
      </c>
      <c r="B879" s="15" t="s">
        <v>2820</v>
      </c>
      <c r="C879" s="15" t="s">
        <v>2821</v>
      </c>
      <c r="I879" s="8"/>
    </row>
    <row r="880">
      <c r="A880" s="15" t="s">
        <v>2822</v>
      </c>
      <c r="B880" s="15" t="s">
        <v>2823</v>
      </c>
      <c r="C880" s="15" t="s">
        <v>2824</v>
      </c>
      <c r="I880" s="8"/>
    </row>
    <row r="881">
      <c r="A881" s="15" t="s">
        <v>2825</v>
      </c>
      <c r="B881" s="15" t="s">
        <v>2826</v>
      </c>
      <c r="C881" s="10" t="s">
        <v>2827</v>
      </c>
      <c r="I881" s="8"/>
    </row>
    <row r="882">
      <c r="A882" s="15" t="s">
        <v>2828</v>
      </c>
      <c r="B882" s="10" t="s">
        <v>2829</v>
      </c>
      <c r="C882" s="10" t="s">
        <v>2830</v>
      </c>
      <c r="I882" s="8"/>
    </row>
    <row r="883">
      <c r="A883" s="15" t="s">
        <v>2831</v>
      </c>
      <c r="B883" s="15" t="s">
        <v>2832</v>
      </c>
      <c r="C883" s="10" t="s">
        <v>2833</v>
      </c>
      <c r="I883" s="8"/>
    </row>
    <row r="884">
      <c r="A884" s="10" t="s">
        <v>2834</v>
      </c>
      <c r="B884" s="10" t="s">
        <v>2835</v>
      </c>
      <c r="C884" s="15" t="s">
        <v>2836</v>
      </c>
      <c r="I884" s="8"/>
    </row>
    <row r="885">
      <c r="A885" s="10" t="s">
        <v>2837</v>
      </c>
      <c r="B885" s="10" t="s">
        <v>2838</v>
      </c>
      <c r="C885" s="10" t="s">
        <v>2839</v>
      </c>
      <c r="I885" s="8"/>
    </row>
    <row r="886">
      <c r="A886" s="10" t="s">
        <v>2840</v>
      </c>
      <c r="B886" s="10" t="s">
        <v>2841</v>
      </c>
      <c r="C886" s="15" t="s">
        <v>2842</v>
      </c>
      <c r="I886" s="8"/>
    </row>
    <row r="887">
      <c r="A887" s="15" t="s">
        <v>2843</v>
      </c>
      <c r="B887" s="15" t="s">
        <v>2844</v>
      </c>
      <c r="C887" s="10" t="s">
        <v>2845</v>
      </c>
      <c r="I887" s="8"/>
    </row>
    <row r="888">
      <c r="A888" s="15" t="s">
        <v>2846</v>
      </c>
      <c r="B888" s="15" t="s">
        <v>2847</v>
      </c>
      <c r="C888" s="15" t="s">
        <v>2848</v>
      </c>
      <c r="I888" s="8"/>
    </row>
    <row r="889">
      <c r="A889" s="15" t="s">
        <v>2849</v>
      </c>
      <c r="B889" s="15" t="s">
        <v>2850</v>
      </c>
      <c r="C889" s="15" t="s">
        <v>2851</v>
      </c>
      <c r="I889" s="8"/>
    </row>
    <row r="890">
      <c r="A890" s="10" t="s">
        <v>2852</v>
      </c>
      <c r="B890" s="10" t="s">
        <v>2853</v>
      </c>
      <c r="C890" s="10" t="s">
        <v>2854</v>
      </c>
      <c r="I890" s="8"/>
    </row>
    <row r="891">
      <c r="A891" s="15" t="s">
        <v>2855</v>
      </c>
      <c r="B891" s="15" t="s">
        <v>2856</v>
      </c>
      <c r="C891" s="10" t="s">
        <v>2857</v>
      </c>
      <c r="I891" s="8"/>
    </row>
    <row r="892">
      <c r="A892" s="10" t="s">
        <v>2858</v>
      </c>
      <c r="B892" s="10" t="s">
        <v>2859</v>
      </c>
      <c r="C892" s="10" t="s">
        <v>2860</v>
      </c>
      <c r="I892" s="8"/>
    </row>
    <row r="893">
      <c r="A893" s="10" t="s">
        <v>2861</v>
      </c>
      <c r="B893" s="10" t="s">
        <v>2862</v>
      </c>
      <c r="C893" s="10" t="s">
        <v>2863</v>
      </c>
      <c r="I893" s="8"/>
    </row>
    <row r="894">
      <c r="A894" s="10" t="s">
        <v>2864</v>
      </c>
      <c r="B894" s="10" t="s">
        <v>2865</v>
      </c>
      <c r="C894" s="15" t="s">
        <v>2866</v>
      </c>
      <c r="I894" s="8"/>
    </row>
    <row r="895">
      <c r="A895" s="10" t="s">
        <v>2867</v>
      </c>
      <c r="B895" s="10" t="s">
        <v>2868</v>
      </c>
      <c r="C895" s="10" t="s">
        <v>2869</v>
      </c>
      <c r="I895" s="8"/>
    </row>
    <row r="896">
      <c r="A896" s="15" t="s">
        <v>2870</v>
      </c>
      <c r="B896" s="15" t="s">
        <v>2871</v>
      </c>
      <c r="C896" s="15" t="s">
        <v>2872</v>
      </c>
      <c r="I896" s="8"/>
    </row>
    <row r="897">
      <c r="A897" s="10" t="s">
        <v>2873</v>
      </c>
      <c r="B897" s="10" t="s">
        <v>2874</v>
      </c>
      <c r="C897" s="15" t="s">
        <v>2875</v>
      </c>
      <c r="I897" s="8"/>
    </row>
    <row r="898">
      <c r="A898" s="15" t="s">
        <v>2876</v>
      </c>
      <c r="B898" s="15" t="s">
        <v>2877</v>
      </c>
      <c r="C898" s="15" t="s">
        <v>2878</v>
      </c>
      <c r="I898" s="8"/>
    </row>
    <row r="899">
      <c r="A899" s="15" t="s">
        <v>2879</v>
      </c>
      <c r="B899" s="15" t="s">
        <v>2880</v>
      </c>
      <c r="C899" s="15" t="s">
        <v>2881</v>
      </c>
      <c r="I899" s="8"/>
    </row>
    <row r="900">
      <c r="A900" s="15" t="s">
        <v>2882</v>
      </c>
      <c r="B900" s="15" t="s">
        <v>2883</v>
      </c>
      <c r="C900" s="10" t="s">
        <v>2884</v>
      </c>
      <c r="I900" s="8"/>
    </row>
    <row r="901">
      <c r="A901" s="15" t="s">
        <v>2885</v>
      </c>
      <c r="B901" s="15" t="s">
        <v>2886</v>
      </c>
      <c r="C901" s="10" t="s">
        <v>2887</v>
      </c>
      <c r="I901" s="8"/>
    </row>
    <row r="902">
      <c r="A902" s="15" t="s">
        <v>2888</v>
      </c>
      <c r="B902" s="15" t="s">
        <v>2889</v>
      </c>
      <c r="C902" s="15" t="s">
        <v>2890</v>
      </c>
      <c r="I902" s="8"/>
    </row>
    <row r="903">
      <c r="A903" s="10" t="s">
        <v>2891</v>
      </c>
      <c r="B903" s="10" t="s">
        <v>2892</v>
      </c>
      <c r="C903" s="15" t="s">
        <v>2893</v>
      </c>
      <c r="I903" s="8"/>
    </row>
    <row r="904">
      <c r="A904" s="15" t="s">
        <v>2894</v>
      </c>
      <c r="B904" s="15" t="s">
        <v>2895</v>
      </c>
      <c r="C904" s="15" t="s">
        <v>2896</v>
      </c>
      <c r="I904" s="8"/>
    </row>
    <row r="905">
      <c r="A905" s="10" t="s">
        <v>2897</v>
      </c>
      <c r="B905" s="10" t="s">
        <v>2898</v>
      </c>
      <c r="C905" s="10" t="s">
        <v>2899</v>
      </c>
      <c r="I905" s="8"/>
    </row>
    <row r="906">
      <c r="A906" s="15" t="s">
        <v>2900</v>
      </c>
      <c r="B906" s="15" t="s">
        <v>2901</v>
      </c>
      <c r="C906" s="15" t="s">
        <v>2902</v>
      </c>
      <c r="I906" s="8"/>
    </row>
    <row r="907">
      <c r="A907" s="15" t="s">
        <v>2903</v>
      </c>
      <c r="B907" s="15" t="s">
        <v>2904</v>
      </c>
      <c r="C907" s="15" t="s">
        <v>2905</v>
      </c>
      <c r="I907" s="8"/>
    </row>
    <row r="908">
      <c r="A908" s="10" t="s">
        <v>2906</v>
      </c>
      <c r="B908" s="10" t="s">
        <v>2907</v>
      </c>
      <c r="C908" s="15" t="s">
        <v>2908</v>
      </c>
      <c r="I908" s="8"/>
    </row>
    <row r="909">
      <c r="A909" s="10" t="s">
        <v>2909</v>
      </c>
      <c r="B909" s="10" t="s">
        <v>2910</v>
      </c>
      <c r="C909" s="10" t="s">
        <v>2911</v>
      </c>
      <c r="I909" s="8"/>
    </row>
    <row r="910">
      <c r="A910" s="10" t="s">
        <v>2912</v>
      </c>
      <c r="B910" s="10" t="s">
        <v>2913</v>
      </c>
      <c r="C910" s="10" t="s">
        <v>2914</v>
      </c>
      <c r="I910" s="8"/>
    </row>
    <row r="911">
      <c r="A911" s="10" t="s">
        <v>2915</v>
      </c>
      <c r="B911" s="10" t="s">
        <v>2916</v>
      </c>
      <c r="C911" s="10" t="s">
        <v>2917</v>
      </c>
      <c r="I911" s="8"/>
    </row>
    <row r="912">
      <c r="A912" s="15" t="s">
        <v>2918</v>
      </c>
      <c r="B912" s="15" t="s">
        <v>2919</v>
      </c>
      <c r="C912" s="15" t="s">
        <v>2920</v>
      </c>
      <c r="I912" s="8"/>
    </row>
    <row r="913">
      <c r="A913" s="15" t="s">
        <v>2921</v>
      </c>
      <c r="B913" s="15" t="s">
        <v>2922</v>
      </c>
      <c r="C913" s="15" t="s">
        <v>2923</v>
      </c>
      <c r="I913" s="8"/>
    </row>
    <row r="914">
      <c r="A914" s="15" t="s">
        <v>2924</v>
      </c>
      <c r="B914" s="15" t="s">
        <v>2925</v>
      </c>
      <c r="C914" s="15" t="s">
        <v>2926</v>
      </c>
      <c r="I914" s="8"/>
    </row>
    <row r="915">
      <c r="A915" s="15" t="s">
        <v>2927</v>
      </c>
      <c r="B915" s="15" t="s">
        <v>2928</v>
      </c>
      <c r="C915" s="15" t="s">
        <v>2929</v>
      </c>
      <c r="I915" s="8"/>
    </row>
    <row r="916">
      <c r="A916" s="15" t="s">
        <v>2930</v>
      </c>
      <c r="B916" s="15" t="s">
        <v>2931</v>
      </c>
      <c r="C916" s="15" t="s">
        <v>2932</v>
      </c>
      <c r="I916" s="8"/>
    </row>
    <row r="917">
      <c r="A917" s="15" t="s">
        <v>2933</v>
      </c>
      <c r="B917" s="15" t="s">
        <v>2934</v>
      </c>
      <c r="C917" s="15" t="s">
        <v>2935</v>
      </c>
      <c r="I917" s="8"/>
    </row>
    <row r="918">
      <c r="A918" s="15" t="s">
        <v>2936</v>
      </c>
      <c r="B918" s="15" t="s">
        <v>2937</v>
      </c>
      <c r="C918" s="15" t="s">
        <v>2938</v>
      </c>
      <c r="I918" s="8"/>
    </row>
    <row r="919">
      <c r="A919" s="15" t="s">
        <v>2939</v>
      </c>
      <c r="B919" s="15" t="s">
        <v>2940</v>
      </c>
      <c r="C919" s="15" t="s">
        <v>2941</v>
      </c>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19">
    <sortState ref="A1:C919">
      <sortCondition ref="A1:A919"/>
      <sortCondition ref="B1:B919"/>
    </sortState>
  </autoFilter>
  <mergeCells count="3">
    <mergeCell ref="K24:K25"/>
    <mergeCell ref="K26:K27"/>
    <mergeCell ref="K28:K29"/>
  </mergeCells>
  <drawing r:id="rId1"/>
</worksheet>
</file>