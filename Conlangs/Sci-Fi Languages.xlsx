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Kagalarian!$A$1:$C$812</definedName>
  </definedNames>
  <calcPr/>
</workbook>
</file>

<file path=xl/sharedStrings.xml><?xml version="1.0" encoding="utf-8"?>
<sst xmlns="http://schemas.openxmlformats.org/spreadsheetml/2006/main" count="2628" uniqueCount="2598">
  <si>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</si>
  <si>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</si>
  <si>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</si>
  <si>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</si>
  <si>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</si>
  <si>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</si>
  <si>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</si>
  <si>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</si>
  <si>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</si>
  <si>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</si>
  <si>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</si>
  <si>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</si>
  <si>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</si>
  <si>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</si>
  <si>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</si>
  <si>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</si>
  <si>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</si>
  <si>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</si>
  <si>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</si>
  <si>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</si>
  <si>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</si>
  <si>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</si>
  <si>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at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</si>
  <si>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</si>
  <si>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</si>
  <si>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</si>
  <si>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</si>
  <si>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</si>
  <si>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</si>
  <si>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</si>
  <si>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</si>
  <si>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</si>
  <si>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</si>
  <si>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</si>
  <si>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</si>
  <si>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</si>
  <si>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</si>
  <si>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</si>
  <si>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</si>
  <si>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</si>
  <si>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</si>
  <si>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</si>
  <si>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</si>
  <si>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</si>
  <si>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</si>
  <si>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</si>
  <si>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</si>
  <si>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</si>
  <si>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</si>
  <si>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</si>
  <si>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</si>
  <si>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</si>
  <si>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</si>
  <si>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</si>
  <si>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</si>
  <si>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</si>
  <si>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</si>
  <si>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</si>
  <si>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</si>
  <si>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</si>
  <si>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</si>
  <si>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</si>
  <si>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</si>
  <si>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</si>
  <si>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</si>
  <si>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</si>
  <si>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</si>
  <si>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</si>
  <si>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</si>
  <si>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</si>
  <si>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</si>
  <si>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</si>
  <si>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</si>
  <si>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</si>
  <si>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</si>
  <si>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</si>
  <si>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</si>
  <si>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</si>
  <si>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</si>
  <si>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</si>
  <si>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</si>
  <si>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</si>
  <si>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</si>
  <si>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</si>
  <si>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</si>
  <si>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</si>
  <si>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</si>
  <si>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</si>
  <si>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</si>
  <si>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</si>
  <si>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</si>
  <si>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</si>
  <si>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</si>
  <si>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</si>
  <si>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</si>
  <si>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</si>
  <si>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</si>
  <si>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</si>
  <si>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</si>
  <si>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</si>
  <si>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</si>
  <si>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</si>
  <si>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</si>
  <si>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</si>
  <si>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</si>
  <si>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</si>
  <si>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</si>
  <si>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</si>
  <si>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</si>
  <si>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</si>
  <si>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</si>
  <si>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</si>
  <si>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</si>
  <si>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</si>
  <si>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</si>
  <si>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</si>
  <si>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</si>
  <si>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</si>
  <si>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</si>
  <si>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</si>
  <si>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</si>
  <si>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</si>
  <si>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</si>
  <si>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</si>
  <si>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</si>
  <si>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</si>
  <si>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</si>
  <si>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</si>
  <si>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</si>
  <si>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</si>
  <si>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</si>
  <si>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</si>
  <si>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</si>
  <si>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</si>
  <si>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</si>
  <si>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</si>
  <si>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</si>
  <si>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</si>
  <si>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</si>
  <si>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</si>
  <si>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</si>
  <si>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</si>
  <si>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</si>
  <si>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</si>
  <si>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</si>
  <si>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</si>
  <si>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</si>
  <si>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</si>
  <si>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</si>
  <si>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</si>
  <si>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</si>
  <si>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</si>
  <si>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</si>
  <si>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</si>
  <si>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</si>
  <si>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</si>
  <si>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</si>
  <si>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</si>
  <si>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</si>
  <si>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</si>
  <si>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</si>
  <si>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</si>
  <si>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</si>
  <si>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</si>
  <si>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</si>
  <si>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</si>
  <si>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</si>
  <si>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</si>
  <si>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</si>
  <si>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</si>
  <si>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</si>
  <si>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</si>
  <si>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</si>
  <si>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</si>
  <si>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</si>
  <si>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</si>
  <si>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</si>
  <si>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</si>
  <si>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</si>
  <si>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</si>
  <si>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</si>
  <si>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</si>
  <si>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</si>
  <si>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</si>
  <si>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</si>
  <si>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</si>
  <si>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</si>
  <si>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</si>
  <si>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</si>
  <si>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</si>
  <si>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</si>
  <si>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</si>
  <si>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</si>
  <si>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</si>
  <si>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</si>
  <si>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</si>
  <si>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</si>
  <si>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</si>
  <si>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</si>
  <si>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</si>
  <si>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</si>
  <si>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</si>
  <si>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</si>
  <si>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</si>
  <si>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</si>
  <si>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</si>
  <si>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</si>
  <si>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</si>
  <si>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</si>
  <si>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</si>
  <si>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</si>
  <si>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</si>
  <si>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</si>
  <si>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</si>
  <si>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</si>
  <si>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</si>
  <si>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</si>
  <si>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</si>
  <si>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</si>
  <si>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</si>
  <si>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</si>
  <si>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</si>
  <si>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</si>
  <si>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</si>
  <si>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</si>
  <si>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</si>
  <si>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</si>
  <si>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</si>
  <si>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</si>
  <si>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</si>
  <si>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</si>
  <si>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</si>
  <si>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</si>
  <si>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</si>
  <si>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</si>
  <si>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</si>
  <si>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</si>
  <si>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</si>
  <si>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</si>
  <si>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</si>
  <si>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</si>
  <si>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</si>
  <si>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</si>
  <si>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</si>
  <si>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</si>
  <si>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</si>
  <si>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</si>
  <si>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</si>
  <si>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</si>
  <si>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</si>
  <si>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</si>
  <si>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</si>
  <si>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</si>
  <si>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</si>
  <si>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</si>
  <si>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</si>
  <si>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</si>
  <si>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</si>
  <si>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</si>
  <si>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</si>
  <si>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</si>
  <si>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</si>
  <si>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</si>
  <si>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</si>
  <si>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</si>
  <si>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</si>
  <si>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</si>
  <si>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</si>
  <si>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</si>
  <si>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</si>
  <si>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</si>
  <si>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</si>
  <si>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</si>
  <si>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</si>
  <si>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</si>
  <si>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</si>
  <si>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</si>
  <si>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</si>
  <si>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</si>
  <si>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</si>
  <si>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</si>
  <si>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</si>
  <si>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</si>
  <si>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</si>
  <si>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</si>
  <si>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</si>
  <si>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</si>
  <si>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</si>
  <si>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</si>
  <si>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</si>
  <si>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</si>
  <si>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</si>
  <si>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</si>
  <si>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</si>
  <si>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</si>
  <si>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</si>
  <si>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</si>
  <si>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</si>
  <si>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</si>
  <si>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</si>
  <si>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</si>
  <si>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</si>
  <si>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</si>
  <si>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</si>
  <si>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</si>
  <si>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</si>
  <si>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</si>
  <si>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</si>
  <si>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</si>
  <si>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</si>
  <si>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</si>
  <si>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</si>
  <si>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</si>
  <si>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</si>
  <si>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</si>
  <si>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</si>
  <si>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</si>
  <si>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</si>
  <si>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</si>
  <si>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</si>
  <si>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</si>
  <si>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</si>
  <si>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</si>
  <si>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</si>
  <si>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</si>
  <si>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</si>
  <si>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</si>
  <si>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</si>
  <si>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</si>
  <si>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</si>
  <si>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</si>
  <si>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</si>
  <si>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</si>
  <si>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</si>
  <si>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</si>
  <si>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</si>
  <si>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</si>
  <si>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</si>
  <si>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</si>
  <si>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</si>
  <si>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</si>
  <si>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</si>
  <si>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</si>
  <si>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</si>
  <si>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</si>
  <si>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</si>
  <si>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</si>
  <si>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</si>
  <si>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</si>
  <si>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</si>
  <si>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</si>
  <si>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</si>
  <si>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</si>
  <si>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</si>
  <si>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</si>
  <si>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</si>
  <si>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</si>
  <si>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</si>
  <si>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</si>
  <si>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</si>
  <si>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</si>
  <si>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</si>
  <si>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</si>
  <si>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</si>
  <si>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</si>
  <si>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</si>
  <si>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</si>
  <si>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</si>
  <si>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</si>
  <si>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</si>
  <si>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</si>
  <si>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</si>
  <si>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</si>
  <si>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</si>
  <si>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</si>
  <si>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</si>
  <si>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</si>
  <si>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</si>
  <si>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</si>
  <si>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</si>
  <si>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</si>
  <si>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</si>
  <si>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</si>
  <si>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</si>
  <si>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</si>
  <si>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</si>
  <si>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</si>
  <si>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</si>
  <si>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</si>
  <si>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</si>
  <si>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</si>
  <si>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</si>
  <si>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</si>
  <si>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</si>
  <si>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</si>
  <si>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</si>
  <si>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</si>
  <si>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</si>
  <si>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</si>
  <si>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</si>
  <si>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</si>
  <si>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</si>
  <si>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</si>
  <si>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</si>
  <si>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</si>
  <si>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</si>
  <si>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</si>
  <si>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</si>
  <si>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</si>
  <si>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</si>
  <si>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</si>
  <si>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</si>
  <si>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</si>
  <si>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</si>
  <si>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</si>
  <si>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</si>
  <si>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</si>
  <si>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</si>
  <si>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</si>
  <si>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</si>
  <si>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</si>
  <si>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</si>
  <si>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</si>
  <si>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</si>
  <si>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</si>
  <si>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</si>
  <si>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</si>
  <si>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</si>
  <si>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</si>
  <si>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</si>
  <si>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</si>
  <si>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</si>
  <si>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</si>
  <si>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</si>
  <si>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</si>
  <si>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</si>
  <si>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</si>
  <si>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</si>
  <si>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</si>
  <si>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</si>
  <si>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</si>
  <si>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</si>
  <si>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</si>
  <si>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</si>
  <si>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</si>
  <si>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</si>
  <si>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</si>
  <si>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</si>
  <si>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</si>
  <si>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</si>
  <si>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</si>
  <si>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</si>
  <si>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</si>
  <si>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</si>
  <si>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</si>
  <si>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</si>
  <si>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</si>
  <si>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</si>
  <si>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</si>
  <si>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</si>
  <si>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</si>
  <si>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</si>
  <si>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</si>
  <si>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</si>
  <si>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</si>
  <si>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</si>
  <si>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</si>
  <si>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</si>
  <si>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</si>
  <si>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</si>
  <si>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</si>
  <si>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</si>
  <si>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</si>
  <si>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</si>
  <si>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</si>
  <si>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</si>
  <si>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</si>
  <si>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</si>
  <si>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</si>
  <si>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</si>
  <si>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</si>
  <si>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</si>
  <si>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</si>
  <si>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</si>
  <si>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</si>
  <si>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</si>
  <si>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</si>
  <si>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</si>
  <si>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</si>
  <si>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</si>
  <si>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</si>
  <si>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</si>
  <si>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</si>
  <si>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</si>
  <si>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</si>
  <si>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</si>
  <si>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</si>
  <si>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</si>
  <si>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</si>
  <si>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</si>
  <si>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</si>
  <si>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</si>
  <si>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</si>
  <si>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</si>
  <si>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</si>
  <si>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</si>
  <si>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</si>
  <si>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</si>
  <si>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</si>
  <si>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</si>
  <si>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</si>
  <si>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</si>
  <si>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</si>
  <si>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</si>
  <si>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</si>
  <si>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</si>
  <si>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</si>
  <si>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</si>
  <si>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</si>
  <si>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</si>
  <si>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</si>
  <si>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</si>
  <si>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</si>
  <si>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</si>
  <si>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</si>
  <si>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</si>
  <si>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</si>
  <si>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</si>
  <si>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</si>
  <si>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</si>
  <si>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</si>
  <si>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</si>
  <si>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</si>
  <si>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</si>
  <si>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</si>
  <si>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</si>
  <si>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</si>
  <si>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</si>
  <si>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</si>
  <si>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</si>
  <si>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</si>
  <si>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</si>
  <si>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</si>
  <si>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</si>
  <si>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</si>
  <si>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</si>
  <si>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</si>
  <si>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</si>
  <si>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</si>
  <si>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</si>
  <si>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</si>
  <si>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</si>
  <si>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</si>
  <si>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</si>
  <si>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</si>
  <si>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</si>
  <si>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</si>
  <si>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</si>
  <si>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</si>
  <si>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</si>
  <si>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</si>
  <si>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</si>
  <si>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</si>
  <si>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</si>
  <si>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</si>
  <si>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</si>
  <si>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</si>
  <si>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</si>
  <si>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</si>
  <si>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</si>
  <si>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</si>
  <si>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</si>
  <si>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</si>
  <si>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</si>
  <si>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</si>
  <si>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</si>
  <si>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</si>
  <si>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</si>
  <si>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</si>
  <si>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</si>
  <si>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</si>
  <si>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</si>
  <si>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</si>
  <si>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</si>
  <si>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</si>
  <si>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</si>
  <si>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</si>
  <si>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</si>
  <si>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</si>
  <si>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</si>
  <si>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</si>
  <si>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</si>
  <si>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</si>
  <si>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</si>
  <si>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</si>
  <si>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</si>
  <si>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</si>
  <si>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</si>
  <si>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</si>
  <si>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</si>
  <si>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</si>
  <si>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</si>
  <si>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</si>
  <si>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</si>
  <si>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</si>
  <si>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</si>
  <si>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</si>
  <si>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</si>
  <si>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</si>
  <si>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</si>
  <si>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</si>
  <si>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</si>
  <si>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</si>
  <si>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</si>
  <si>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</si>
  <si>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</si>
  <si>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</si>
  <si>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</si>
  <si>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</si>
  <si>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</si>
  <si>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</si>
  <si>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</si>
  <si>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</si>
  <si>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</si>
  <si>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</si>
  <si>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</si>
  <si>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</si>
  <si>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</si>
  <si>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</si>
  <si>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</si>
  <si>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</si>
  <si>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</si>
  <si>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</si>
  <si>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</si>
  <si>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</si>
  <si>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</si>
  <si>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</si>
  <si>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</si>
  <si>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</si>
  <si>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</si>
  <si>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</si>
  <si>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</si>
  <si>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</si>
  <si>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</si>
  <si>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</si>
  <si>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</si>
  <si>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</si>
  <si>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</si>
  <si>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</si>
  <si>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</si>
  <si>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</si>
  <si>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</si>
  <si>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</si>
  <si>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</si>
  <si>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</si>
  <si>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</si>
  <si>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</si>
  <si>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</si>
  <si>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</si>
  <si>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</si>
  <si>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</si>
  <si>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</si>
  <si>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</si>
  <si>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</si>
  <si>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</si>
  <si>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</si>
  <si>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</si>
  <si>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</si>
  <si>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</si>
  <si>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</si>
  <si>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</si>
  <si>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</si>
  <si>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</si>
  <si>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</si>
  <si>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</si>
  <si>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</si>
  <si>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</si>
  <si>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</si>
  <si>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</si>
  <si>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</si>
  <si>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</si>
  <si>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</si>
  <si>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</si>
  <si>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</si>
  <si>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</si>
  <si>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</si>
  <si>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</si>
  <si>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</si>
  <si>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</si>
  <si>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</si>
  <si>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</si>
  <si>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</si>
  <si>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</si>
  <si>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</si>
  <si>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</si>
  <si>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</si>
  <si>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</si>
  <si>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</si>
  <si>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</si>
  <si>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</si>
  <si>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</si>
  <si>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</si>
  <si>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</si>
  <si>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</si>
  <si>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</si>
  <si>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</si>
  <si>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</si>
  <si>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</si>
  <si>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</si>
  <si>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</si>
  <si>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</si>
  <si>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</si>
  <si>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</si>
  <si>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</si>
  <si>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</si>
  <si>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</si>
  <si>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</si>
  <si>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</si>
  <si>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</si>
  <si>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</si>
  <si>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</si>
  <si>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</si>
  <si>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</si>
  <si>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</si>
  <si>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</si>
  <si>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</si>
  <si>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</si>
  <si>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</si>
  <si>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</si>
  <si>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</si>
  <si>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</si>
  <si>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</si>
  <si>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</si>
  <si>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</si>
  <si>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</si>
  <si>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</si>
  <si>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</si>
  <si>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</si>
  <si>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</si>
  <si>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</si>
  <si>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</si>
  <si>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</si>
  <si>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</si>
  <si>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</si>
  <si>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</si>
  <si>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</si>
  <si>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</si>
  <si>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</si>
  <si>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</si>
  <si>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</si>
  <si>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</si>
  <si>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</si>
  <si>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</si>
  <si>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</si>
  <si>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</si>
  <si>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</si>
  <si>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</si>
  <si>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</si>
  <si>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</si>
  <si>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</si>
  <si>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</si>
  <si>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</si>
  <si>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</si>
  <si>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</si>
  <si>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</si>
  <si>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</si>
  <si>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</si>
  <si>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</si>
  <si>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</si>
  <si>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</si>
  <si>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</si>
  <si>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</si>
  <si>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</si>
  <si>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</si>
  <si>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</si>
  <si>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</si>
  <si>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</si>
  <si>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</si>
  <si>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</si>
  <si>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</si>
  <si>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</si>
  <si>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</si>
  <si>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</si>
  <si>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</si>
  <si>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</si>
  <si>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</si>
  <si>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</si>
  <si>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</si>
  <si>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</si>
  <si>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</si>
  <si>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</si>
  <si>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</si>
  <si>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</si>
  <si>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</si>
  <si>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</si>
  <si>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</si>
  <si>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</si>
  <si>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</si>
  <si>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</si>
  <si>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</si>
  <si>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</si>
  <si>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</si>
  <si>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</si>
  <si>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</si>
  <si>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</si>
  <si>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</si>
  <si>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</si>
  <si>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</si>
  <si>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</si>
  <si>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</si>
  <si>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</si>
  <si>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</si>
  <si>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</si>
  <si>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</si>
  <si>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</si>
  <si>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</si>
  <si>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</si>
  <si>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</si>
  <si>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</si>
  <si>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</si>
  <si>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</si>
  <si>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</si>
  <si>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</si>
  <si>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</si>
  <si>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</si>
  <si>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</si>
  <si>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</si>
  <si>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</si>
  <si>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</si>
  <si>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</si>
  <si>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</si>
  <si>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</si>
  <si>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</si>
  <si>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</si>
  <si>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</si>
  <si>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</si>
  <si>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</si>
  <si>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</si>
  <si>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</si>
  <si>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</si>
  <si>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</si>
  <si>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</si>
  <si>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</si>
  <si>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</si>
  <si>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</si>
  <si>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</si>
  <si>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</si>
  <si>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</si>
  <si>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</si>
  <si>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</si>
  <si>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</si>
  <si>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</si>
  <si>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</si>
  <si>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</si>
  <si>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</si>
  <si>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</si>
  <si>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</si>
  <si>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</si>
  <si>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</si>
  <si>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</si>
  <si>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</si>
  <si>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</si>
  <si>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</si>
  <si>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</si>
  <si>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</si>
  <si>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</si>
  <si>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</si>
  <si>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</si>
  <si>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</si>
  <si>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</si>
  <si>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</si>
  <si>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</si>
  <si>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</si>
  <si>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</si>
  <si>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</si>
  <si>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</si>
  <si>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</si>
  <si>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</si>
  <si>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</si>
  <si>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</si>
  <si>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</si>
  <si>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</si>
  <si>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</si>
  <si>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</si>
  <si>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</si>
  <si>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</si>
  <si>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</si>
  <si>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</si>
  <si>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</si>
  <si>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</si>
  <si>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</si>
  <si>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</si>
  <si>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</si>
  <si>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</si>
  <si>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</si>
  <si>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</si>
  <si>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</si>
  <si>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</si>
  <si>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</si>
  <si>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</si>
  <si>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</si>
  <si>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</si>
  <si>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</si>
  <si>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</si>
  <si>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</si>
  <si>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</si>
  <si>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</si>
  <si>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</si>
  <si>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</si>
  <si>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</si>
  <si>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</si>
  <si>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</si>
  <si>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</si>
  <si>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</si>
  <si>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</si>
  <si>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</si>
  <si>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</si>
  <si>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</si>
  <si>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</si>
  <si>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</si>
  <si>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</si>
  <si>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</si>
  <si>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</si>
  <si>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</si>
  <si>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</si>
  <si>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</si>
  <si>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</si>
  <si>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</si>
  <si>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</si>
  <si>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</si>
  <si>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</si>
  <si>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</si>
  <si>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</si>
  <si>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</si>
  <si>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</si>
  <si>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</si>
  <si>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</si>
  <si>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</si>
  <si>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</si>
  <si>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</si>
  <si>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</si>
  <si>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</si>
  <si>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</si>
  <si>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</si>
  <si>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</si>
  <si>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</si>
  <si>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</si>
  <si>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</si>
  <si>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</si>
  <si>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</si>
  <si>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</si>
  <si>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</si>
  <si>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</si>
  <si>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</si>
  <si>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</si>
  <si>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</si>
  <si>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</si>
  <si>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</si>
  <si>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</si>
  <si>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</si>
  <si>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</si>
  <si>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</si>
  <si>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</si>
  <si>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</si>
  <si>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</si>
  <si>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</si>
  <si>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</si>
  <si>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</si>
  <si>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</si>
  <si>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</si>
  <si>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</si>
  <si>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</si>
  <si>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</si>
  <si>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</si>
  <si>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</si>
  <si>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</si>
  <si>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</si>
  <si>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</si>
  <si>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</si>
  <si>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</si>
  <si>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</si>
  <si>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</si>
  <si>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</si>
  <si>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</si>
  <si>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</si>
  <si>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</si>
  <si>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</si>
  <si>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</si>
  <si>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</si>
  <si>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</si>
  <si>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</si>
  <si>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</si>
  <si>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</si>
  <si>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</si>
  <si>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</si>
  <si>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</si>
  <si>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</si>
  <si>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</si>
  <si>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</si>
  <si>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</si>
  <si>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</si>
  <si>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</si>
  <si>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</si>
  <si>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</si>
  <si>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</si>
  <si>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</si>
  <si>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</si>
  <si>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</si>
  <si>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</si>
  <si>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</si>
  <si>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</si>
  <si>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</si>
  <si>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</si>
  <si>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</si>
  <si>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</si>
  <si>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</si>
  <si>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</si>
  <si>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</si>
  <si>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</si>
  <si>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</si>
  <si>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</si>
  <si>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</si>
  <si>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</si>
  <si>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</si>
  <si>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</si>
  <si>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</si>
  <si>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</si>
  <si>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</si>
  <si>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</si>
  <si>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</si>
  <si>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</si>
  <si>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</si>
  <si>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</si>
  <si>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</si>
  <si>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</si>
  <si>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</si>
  <si>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</si>
  <si>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</si>
  <si>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</si>
  <si>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</si>
  <si>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</si>
  <si>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</si>
  <si>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</si>
  <si>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</si>
  <si>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</si>
  <si>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</si>
  <si>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</si>
  <si>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</si>
  <si>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</si>
  <si>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</si>
  <si>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</si>
  <si>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</si>
  <si>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</si>
  <si>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</si>
  <si>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</si>
  <si>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</si>
  <si>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</si>
  <si>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</si>
  <si>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</si>
  <si>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</si>
  <si>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</si>
  <si>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</si>
  <si>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</si>
  <si>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</si>
  <si>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</si>
  <si>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</si>
  <si>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</si>
  <si>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</si>
  <si>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</si>
  <si>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</si>
  <si>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</si>
  <si>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</si>
  <si>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</si>
  <si>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</si>
  <si>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</si>
  <si>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</si>
  <si>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</si>
  <si>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</si>
  <si>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</si>
  <si>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</si>
  <si>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</si>
  <si>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</si>
  <si>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</si>
  <si>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</si>
  <si>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</si>
  <si>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</si>
  <si>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</si>
  <si>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</si>
  <si>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</si>
  <si>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</si>
  <si>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</si>
  <si>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</si>
  <si>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</si>
  <si>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</si>
  <si>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</si>
  <si>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</si>
  <si>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</si>
  <si>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</si>
  <si>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</si>
  <si>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</si>
  <si>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</si>
  <si>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</si>
  <si>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</si>
  <si>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</si>
  <si>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</si>
  <si>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</si>
  <si>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</si>
  <si>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</si>
  <si>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</si>
  <si>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</si>
  <si>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</si>
  <si>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</si>
  <si>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</si>
  <si>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</si>
  <si>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</si>
  <si>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</si>
  <si>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</si>
  <si>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</si>
  <si>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</si>
  <si>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</si>
  <si>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</si>
  <si>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</si>
  <si>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</si>
  <si>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</si>
  <si>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</si>
  <si>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</si>
  <si>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</si>
  <si>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</si>
  <si>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</si>
  <si>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</si>
  <si>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</si>
  <si>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</si>
  <si>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</si>
  <si>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</si>
  <si>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</si>
  <si>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</si>
  <si>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</si>
  <si>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</si>
  <si>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</si>
  <si>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</si>
  <si>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</si>
  <si>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</si>
  <si>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</si>
  <si>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</si>
  <si>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</si>
  <si>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</si>
  <si>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</si>
  <si>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</si>
  <si>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</si>
  <si>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</si>
  <si>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</si>
  <si>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</si>
  <si>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</si>
  <si>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</si>
  <si>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</si>
  <si>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</si>
  <si>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</si>
  <si>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</si>
  <si>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</si>
  <si>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</si>
  <si>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</si>
  <si>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</si>
  <si>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</si>
  <si>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</si>
  <si>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</si>
  <si>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</si>
  <si>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</si>
  <si>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</si>
  <si>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</si>
  <si>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</si>
  <si>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</si>
  <si>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</si>
  <si>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</si>
  <si>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</si>
  <si>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</si>
  <si>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</si>
  <si>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</si>
  <si>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</si>
  <si>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</si>
  <si>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</si>
  <si>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</si>
  <si>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</si>
  <si>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</si>
  <si>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</si>
  <si>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</si>
  <si>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</si>
  <si>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</si>
  <si>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</si>
  <si>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</si>
  <si>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</si>
  <si>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</si>
  <si>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</si>
  <si>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</si>
  <si>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</si>
  <si>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</si>
  <si>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</si>
  <si>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</si>
  <si>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</si>
  <si>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</si>
  <si>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</si>
  <si>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</si>
  <si>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</si>
  <si>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</si>
  <si>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</si>
  <si>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</si>
  <si>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</si>
  <si>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</si>
  <si>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</si>
  <si>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</si>
  <si>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</si>
  <si>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</si>
  <si>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</si>
  <si>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</si>
  <si>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</si>
  <si>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</si>
  <si>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</si>
  <si>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</si>
  <si>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</si>
  <si>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</si>
  <si>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</si>
  <si>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</si>
  <si>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</si>
  <si>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</si>
  <si>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</si>
  <si>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</si>
  <si>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</si>
  <si>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</si>
  <si>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</si>
  <si>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</si>
  <si>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</si>
  <si>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</si>
  <si>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</si>
  <si>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</si>
  <si>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</si>
  <si>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</si>
  <si>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</si>
  <si>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</si>
  <si>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</si>
  <si>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</si>
  <si>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</si>
  <si>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</si>
  <si>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</si>
  <si>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</si>
  <si>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</si>
  <si>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</si>
  <si>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</si>
  <si>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</si>
  <si>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</si>
  <si>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</si>
  <si>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</si>
  <si>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</si>
  <si>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</si>
  <si>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</si>
  <si>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</si>
  <si>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</si>
  <si>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</si>
  <si>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</si>
  <si>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</si>
  <si>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</si>
  <si>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</si>
  <si>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</si>
  <si>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</si>
  <si>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</si>
  <si>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</si>
  <si>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</si>
  <si>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</si>
  <si>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</si>
  <si>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</si>
  <si>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</si>
  <si>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</si>
  <si>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</si>
  <si>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</si>
  <si>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</si>
  <si>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</si>
  <si>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</si>
  <si>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</si>
  <si>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</si>
  <si>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</si>
  <si>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</si>
  <si>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</si>
  <si>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</si>
  <si>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</si>
  <si>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</si>
  <si>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</si>
  <si>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</si>
  <si>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</si>
  <si>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</si>
  <si>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</si>
  <si>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</si>
  <si>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</si>
  <si>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</si>
  <si>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</si>
  <si>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</si>
  <si>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</si>
  <si>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</si>
  <si>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</si>
  <si>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</si>
  <si>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</si>
  <si>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</si>
  <si>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</si>
  <si>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</si>
  <si>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</si>
  <si>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</si>
  <si>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</si>
  <si>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</si>
  <si>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</si>
  <si>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</si>
  <si>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</si>
  <si>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</si>
  <si>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</si>
  <si>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</si>
  <si>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</si>
  <si>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</si>
  <si>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</si>
  <si>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</si>
  <si>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</si>
  <si>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</si>
  <si>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</si>
  <si>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</si>
  <si>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</si>
  <si>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</si>
  <si>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</si>
  <si>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</si>
  <si>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</si>
  <si>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</si>
  <si>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</si>
  <si>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</si>
  <si>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</si>
  <si>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</si>
  <si>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</si>
  <si>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</si>
  <si>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</si>
  <si>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</si>
  <si>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</si>
  <si>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</si>
  <si>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</si>
  <si>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</si>
  <si>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</si>
  <si>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</si>
  <si>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</si>
  <si>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</si>
  <si>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</si>
  <si>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</si>
  <si>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</si>
  <si>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</si>
  <si>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</si>
  <si>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</si>
  <si>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</si>
  <si>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</si>
  <si>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</si>
  <si>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</si>
  <si>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</si>
  <si>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</si>
  <si>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</si>
  <si>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</si>
  <si>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</si>
  <si>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</si>
  <si>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</si>
  <si>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</si>
  <si>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</si>
  <si>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</si>
  <si>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</si>
  <si>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</si>
  <si>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</si>
  <si>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</si>
  <si>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</si>
  <si>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</si>
  <si>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</si>
  <si>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</si>
  <si>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</si>
  <si>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</si>
  <si>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</si>
  <si>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</si>
  <si>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</si>
  <si>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</si>
  <si>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</si>
  <si>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</si>
  <si>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</si>
  <si>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</si>
  <si>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</si>
  <si>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</si>
  <si>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</si>
  <si>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</si>
  <si>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</si>
  <si>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</si>
  <si>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</si>
  <si>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</si>
  <si>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</si>
  <si>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</si>
  <si>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</si>
  <si>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</si>
  <si>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</si>
  <si>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</si>
  <si>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</si>
  <si>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</si>
  <si>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</si>
  <si>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</si>
  <si>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</si>
  <si>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</si>
  <si>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</si>
  <si>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</si>
  <si>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</si>
  <si>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</si>
  <si>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</si>
  <si>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</si>
  <si>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</si>
  <si>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</si>
  <si>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</si>
  <si>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</si>
  <si>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</si>
  <si>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</si>
  <si>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</si>
  <si>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</si>
  <si>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</si>
  <si>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</si>
  <si>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</si>
  <si>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</si>
  <si>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</si>
  <si>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</si>
  <si>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</si>
  <si>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</si>
  <si>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</si>
  <si>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</si>
  <si>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</si>
  <si>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</si>
  <si>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</si>
  <si>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</si>
  <si>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</si>
  <si>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</si>
  <si>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</si>
  <si>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</si>
  <si>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</si>
  <si>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</si>
  <si>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</si>
  <si>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</si>
  <si>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</si>
  <si>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</si>
  <si>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</si>
  <si>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</si>
  <si>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</si>
  <si>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</si>
  <si>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</si>
  <si>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</si>
  <si>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</si>
  <si>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</si>
  <si>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</si>
  <si>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</si>
  <si>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</si>
  <si>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</si>
  <si>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</si>
  <si>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</si>
  <si>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</si>
  <si>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</si>
  <si>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</si>
  <si>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</si>
  <si>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</si>
  <si>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</si>
  <si>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</si>
  <si>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</si>
  <si>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</si>
  <si>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</si>
  <si>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</si>
  <si>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</si>
  <si>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</si>
  <si>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</si>
  <si>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</si>
  <si>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</si>
  <si>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</si>
  <si>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</si>
  <si>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</si>
  <si>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</si>
  <si>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</si>
  <si>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</si>
  <si>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</si>
  <si>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</si>
  <si>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</si>
  <si>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</si>
  <si>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</si>
  <si>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</si>
  <si>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</si>
  <si>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</si>
  <si>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</si>
  <si>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</si>
  <si>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</si>
  <si>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</si>
  <si>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</si>
  <si>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</si>
  <si>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</si>
  <si>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</si>
  <si>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</si>
  <si>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</si>
  <si>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</si>
  <si>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</si>
  <si>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</si>
  <si>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</si>
  <si>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</si>
  <si>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</si>
  <si>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</si>
  <si>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</si>
  <si>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</si>
  <si>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</si>
  <si>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</si>
  <si>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</si>
  <si>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</si>
  <si>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</si>
  <si>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</si>
  <si>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</si>
  <si>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</si>
  <si>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</si>
  <si>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</si>
  <si>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</si>
  <si>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</si>
  <si>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</si>
  <si>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</si>
  <si>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</si>
  <si>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</si>
  <si>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</si>
  <si>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</si>
  <si>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</si>
  <si>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</si>
  <si>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</si>
  <si>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</si>
  <si>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</si>
  <si>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</si>
  <si>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</si>
  <si>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</si>
  <si>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</si>
  <si>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</si>
  <si>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</si>
  <si>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</si>
  <si>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</si>
  <si>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</si>
  <si>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</si>
  <si>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</si>
  <si>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</si>
  <si>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</si>
  <si>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</si>
  <si>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</si>
  <si>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</si>
  <si>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</si>
  <si>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</si>
  <si>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</si>
  <si>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</si>
  <si>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</si>
  <si>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</si>
  <si>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</si>
  <si>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</si>
  <si>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</si>
  <si>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</si>
  <si>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</si>
  <si>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</si>
  <si>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</si>
  <si>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</si>
  <si>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</si>
  <si>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</si>
  <si>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</si>
  <si>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</si>
  <si>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</si>
  <si>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</si>
  <si>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</si>
  <si>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</si>
  <si>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</si>
  <si>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</si>
  <si>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</si>
  <si>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</si>
  <si>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</si>
  <si>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</si>
  <si>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</si>
  <si>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</si>
  <si>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</si>
  <si>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</si>
  <si>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</si>
  <si>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</si>
  <si>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</si>
  <si>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</si>
  <si>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</si>
  <si>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</si>
  <si>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</si>
  <si>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</si>
  <si>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</si>
  <si>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</si>
  <si>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</si>
  <si>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</si>
  <si>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</si>
  <si>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</si>
  <si>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</si>
  <si>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</si>
  <si>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</si>
  <si>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</si>
  <si>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</si>
  <si>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</si>
  <si>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</si>
  <si>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</si>
  <si>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</si>
  <si>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</si>
  <si>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</si>
  <si>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</si>
  <si>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</si>
  <si>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</si>
  <si>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</si>
  <si>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</si>
  <si>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</si>
  <si>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</si>
  <si>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</si>
  <si>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</si>
  <si>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</si>
  <si>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</si>
  <si>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</si>
  <si>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</si>
  <si>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</si>
  <si>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</si>
  <si>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</si>
  <si>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</si>
  <si>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</si>
  <si>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</si>
  <si>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</si>
  <si>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</si>
  <si>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</si>
  <si>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</si>
  <si>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</si>
  <si>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</si>
  <si>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</si>
  <si>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</si>
  <si>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</si>
  <si>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</si>
  <si>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</si>
  <si>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</si>
  <si>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</si>
  <si>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</si>
  <si>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</si>
  <si>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</si>
  <si>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</si>
  <si>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</si>
  <si>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</si>
  <si>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</si>
  <si>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</si>
  <si>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</si>
  <si>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</si>
  <si>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</si>
  <si>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</si>
  <si>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</si>
  <si>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</si>
  <si>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</si>
  <si>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</si>
  <si>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</si>
  <si>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</si>
  <si>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</si>
  <si>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</si>
  <si>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</si>
  <si>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</si>
  <si>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</si>
  <si>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</si>
  <si>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</si>
  <si>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</si>
  <si>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</si>
  <si>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</si>
  <si>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</si>
  <si>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</si>
  <si>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</si>
  <si>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</si>
  <si>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</si>
  <si>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</si>
  <si>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</si>
  <si>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</si>
  <si>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</si>
  <si>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</si>
  <si>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</si>
  <si>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</si>
  <si>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</si>
  <si>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</si>
  <si>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</si>
  <si>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</si>
  <si>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</si>
  <si>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</si>
  <si>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</si>
  <si>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</si>
  <si>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</si>
  <si>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</si>
  <si>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</si>
  <si>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</si>
  <si>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</si>
  <si>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</si>
  <si>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</si>
  <si>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</si>
  <si>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</si>
  <si>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</si>
  <si>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</si>
  <si>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</si>
  <si>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</si>
  <si>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</si>
  <si>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</si>
  <si>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</si>
  <si>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</si>
  <si>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</si>
  <si>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</si>
  <si>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</si>
  <si>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</si>
  <si>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</si>
  <si>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</si>
  <si>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</si>
  <si>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</si>
  <si>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</si>
  <si>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</si>
  <si>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</si>
  <si>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</si>
  <si>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</si>
  <si>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</si>
  <si>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</si>
  <si>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</si>
  <si>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</si>
  <si>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</si>
  <si>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</si>
  <si>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</si>
  <si>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</si>
  <si>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</si>
  <si>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</si>
  <si>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</si>
  <si>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</si>
  <si>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</si>
  <si>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</si>
  <si>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</si>
  <si>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</si>
  <si>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</si>
  <si>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</si>
  <si>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</si>
  <si>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</si>
  <si>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</si>
  <si>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</si>
  <si>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</si>
  <si>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</si>
  <si>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</si>
  <si>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</si>
  <si>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</si>
  <si>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</si>
  <si>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</si>
  <si>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</si>
  <si>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</si>
  <si>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</si>
  <si>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</si>
  <si>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</si>
  <si>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</si>
  <si>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</si>
  <si>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</si>
  <si>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</si>
  <si>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</si>
  <si>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</si>
  <si>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</si>
  <si>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</si>
  <si>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</si>
  <si>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</si>
  <si>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</si>
  <si>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</si>
  <si>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</si>
  <si>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</si>
  <si>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</si>
  <si>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</si>
  <si>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</si>
  <si>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</si>
  <si>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</si>
  <si>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</si>
  <si>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</si>
  <si>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</si>
  <si>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</si>
  <si>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</si>
  <si>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</si>
  <si>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</si>
  <si>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</si>
  <si>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</si>
  <si>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</si>
  <si>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</si>
  <si>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</si>
  <si>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</si>
  <si>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</si>
  <si>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</si>
  <si>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</si>
  <si>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</si>
  <si>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</si>
  <si>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</si>
  <si>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</si>
  <si>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</si>
  <si>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</si>
  <si>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</si>
  <si>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</si>
  <si>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</si>
  <si>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</si>
  <si>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</si>
  <si>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</si>
  <si>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</si>
  <si>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</si>
  <si>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</si>
  <si>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</si>
  <si>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</si>
  <si>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</si>
  <si>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</si>
  <si>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</si>
  <si>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</si>
  <si>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</si>
  <si>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</si>
  <si>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</si>
  <si>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</si>
  <si>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</si>
  <si>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</si>
  <si>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</si>
  <si>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</si>
  <si>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</si>
  <si>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</si>
  <si>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</si>
  <si>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</si>
  <si>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</si>
  <si>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</si>
  <si>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</si>
  <si>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</si>
  <si>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</si>
  <si>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</si>
  <si>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</si>
  <si>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</si>
  <si>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</si>
  <si>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</si>
  <si>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</si>
  <si>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</si>
  <si>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</si>
  <si>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</si>
  <si>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</si>
  <si>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</si>
  <si>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</si>
  <si>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</si>
  <si>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</si>
  <si>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</si>
  <si>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</si>
  <si>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</si>
  <si>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</si>
  <si>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</si>
  <si>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</si>
  <si>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</si>
  <si>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</si>
  <si>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</si>
  <si>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</si>
  <si>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</si>
  <si>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</si>
  <si>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</si>
  <si>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</si>
  <si>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</si>
  <si>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</si>
  <si>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</si>
  <si>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</si>
  <si>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</si>
  <si>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</si>
  <si>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</si>
  <si>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</si>
  <si>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</si>
  <si>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</si>
  <si>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</si>
  <si>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</si>
  <si>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</si>
  <si>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</si>
  <si>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</si>
  <si>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</si>
  <si>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</si>
  <si>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</si>
  <si>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</si>
  <si>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</si>
  <si>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</si>
  <si>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</si>
  <si>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</si>
  <si>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</si>
  <si>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</si>
  <si>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</si>
  <si>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</si>
  <si>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</si>
  <si>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</si>
  <si>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</si>
  <si>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</si>
  <si>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</si>
  <si>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</si>
  <si>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</si>
  <si>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</si>
  <si>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</si>
  <si>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</si>
  <si>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</si>
  <si>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</si>
  <si>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</si>
  <si>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</si>
  <si>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</si>
  <si>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</si>
  <si>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</si>
  <si>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</si>
  <si>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</si>
  <si>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</si>
  <si>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</si>
  <si>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</si>
  <si>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</si>
  <si>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</si>
  <si>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</si>
  <si>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</si>
  <si>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</si>
  <si>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</si>
  <si>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</si>
  <si>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</si>
  <si>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</si>
  <si>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</si>
  <si>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</si>
  <si>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</si>
  <si>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</si>
  <si>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</si>
  <si>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</si>
  <si>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</si>
  <si>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</si>
  <si>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</si>
  <si>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</si>
  <si>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</si>
  <si>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</si>
  <si>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</si>
  <si>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</si>
  <si>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</si>
  <si>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</si>
  <si>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</si>
  <si>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</si>
  <si>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</si>
  <si>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</si>
  <si>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</si>
  <si>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</si>
  <si>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</si>
  <si>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</si>
  <si>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</si>
  <si>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</si>
  <si>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</si>
  <si>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</si>
  <si>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</si>
  <si>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</si>
  <si>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</si>
  <si>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</si>
  <si>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</si>
  <si>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</si>
  <si>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</si>
  <si>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</si>
  <si>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</si>
  <si>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</si>
  <si>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</si>
  <si>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</si>
  <si>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</si>
  <si>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</si>
  <si>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</si>
  <si>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</si>
  <si>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</si>
  <si>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</si>
  <si>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</si>
  <si>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</si>
  <si>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</si>
  <si>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</si>
  <si>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</si>
  <si>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</si>
  <si>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</si>
  <si>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</si>
  <si>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</si>
  <si>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</si>
  <si>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</si>
  <si>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</si>
  <si>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</si>
  <si>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</si>
  <si>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</si>
  <si>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</si>
  <si>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</si>
  <si>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</si>
  <si>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</si>
  <si>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</si>
  <si>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</si>
  <si>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</si>
  <si>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</si>
  <si>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</si>
  <si>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</si>
  <si>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</si>
  <si>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</si>
  <si>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</si>
  <si>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</si>
  <si>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</si>
  <si>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</si>
  <si>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</si>
  <si>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</si>
  <si>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</si>
  <si>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</si>
  <si>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</si>
  <si>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</si>
  <si>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</si>
  <si>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</si>
  <si>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</si>
  <si>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</si>
  <si>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</si>
  <si>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</si>
  <si>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</si>
  <si>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</si>
  <si>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</si>
  <si>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</si>
  <si>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</si>
  <si>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</si>
  <si>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</si>
  <si>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</si>
  <si>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</si>
  <si>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sikol</t>
  </si>
  <si>
    <t>cycle</t>
  </si>
  <si>
    <t>сикол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</si>
  <si>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</si>
  <si>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</si>
  <si>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</si>
  <si>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</si>
  <si>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</si>
  <si>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</si>
  <si>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</si>
  <si>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</si>
  <si>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</si>
  <si>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</si>
  <si>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</si>
  <si>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</si>
  <si>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</si>
  <si>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</si>
  <si>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</si>
  <si>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</si>
  <si>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</si>
  <si>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</si>
  <si>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</si>
  <si>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</si>
  <si>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</si>
  <si>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skahem</t>
  </si>
  <si>
    <t>the sky</t>
  </si>
  <si>
    <t>скахэм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</si>
  <si>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</si>
  <si>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</si>
  <si>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</si>
  <si>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</si>
  <si>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</si>
  <si>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</si>
  <si>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</si>
  <si>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</si>
  <si>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</si>
  <si>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</si>
  <si>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</si>
  <si>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</si>
  <si>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</si>
  <si>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</si>
  <si>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</si>
  <si>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</si>
  <si>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</si>
  <si>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</si>
  <si>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</si>
  <si>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</si>
  <si>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</si>
  <si>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</si>
  <si>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</si>
  <si>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</si>
  <si>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</si>
  <si>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</si>
  <si>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</si>
  <si>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</si>
  <si>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</si>
  <si>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</si>
  <si>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</si>
  <si>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</si>
  <si>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</si>
  <si>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</si>
  <si>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</si>
  <si>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</si>
  <si>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</si>
  <si>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</si>
  <si>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</si>
  <si>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</si>
  <si>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</si>
  <si>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</si>
  <si>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</si>
  <si>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</si>
  <si>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</si>
  <si>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</si>
  <si>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</si>
  <si>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</si>
  <si>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</si>
  <si>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</si>
  <si>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</si>
  <si>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</si>
  <si>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</si>
  <si>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</si>
  <si>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</si>
  <si>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</si>
  <si>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</si>
  <si>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</si>
  <si>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</si>
  <si>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</si>
  <si>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</si>
  <si>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</si>
  <si>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</si>
  <si>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</si>
  <si>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</si>
  <si>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</si>
  <si>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</si>
  <si>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</si>
  <si>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</si>
  <si>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</si>
  <si>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</si>
  <si>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</si>
  <si>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</si>
  <si>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</si>
  <si>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</si>
  <si>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</si>
  <si>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</si>
  <si>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</si>
  <si>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</si>
  <si>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</si>
  <si>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</si>
  <si>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</si>
  <si>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</si>
  <si>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</si>
  <si>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</si>
  <si>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</si>
  <si>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</si>
  <si>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</si>
  <si>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</si>
  <si>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</si>
  <si>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</si>
  <si>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</si>
  <si>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</si>
  <si>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</si>
  <si>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</si>
  <si>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</si>
  <si>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</si>
  <si>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</si>
  <si>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</si>
  <si>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</si>
  <si>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</si>
  <si>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</si>
  <si>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</si>
  <si>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</si>
  <si>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</si>
  <si>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</si>
  <si>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</si>
  <si>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</si>
  <si>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syatsla</t>
  </si>
  <si>
    <t>snake, serpent</t>
  </si>
  <si>
    <t>сяцла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</si>
  <si>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</si>
  <si>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</si>
  <si>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</si>
  <si>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</si>
  <si>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</si>
  <si>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</si>
  <si>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</si>
  <si>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</si>
  <si>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</si>
  <si>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</si>
  <si>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</si>
  <si>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</si>
  <si>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</si>
  <si>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</si>
  <si>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</si>
  <si>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</si>
  <si>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</si>
  <si>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</si>
  <si>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</si>
  <si>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</si>
  <si>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</si>
  <si>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</si>
  <si>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</si>
  <si>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</si>
  <si>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</si>
  <si>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</si>
  <si>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</si>
  <si>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</si>
  <si>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</si>
  <si>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</si>
  <si>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</si>
  <si>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</si>
  <si>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</si>
  <si>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</si>
  <si>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</si>
  <si>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</si>
  <si>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</si>
  <si>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</si>
  <si>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</si>
  <si>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</si>
  <si>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</si>
  <si>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</si>
  <si>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</si>
  <si>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</si>
  <si>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</si>
  <si>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</si>
  <si>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</si>
  <si>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</si>
  <si>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</si>
  <si>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</si>
  <si>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</si>
  <si>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</si>
  <si>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</si>
  <si>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</si>
  <si>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</si>
  <si>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</si>
  <si>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</si>
  <si>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</si>
  <si>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</si>
  <si>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</si>
  <si>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</si>
  <si>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</si>
  <si>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</si>
  <si>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</si>
  <si>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</si>
  <si>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</si>
  <si>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</si>
  <si>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</si>
  <si>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</si>
  <si>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</si>
  <si>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</si>
  <si>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</si>
  <si>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</si>
  <si>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</si>
  <si>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</si>
  <si>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</si>
  <si>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</si>
  <si>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</si>
  <si>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</si>
  <si>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</si>
  <si>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</si>
  <si>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</si>
  <si>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</si>
  <si>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</si>
  <si>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tonasikol</t>
  </si>
  <si>
    <t>bicycle, bike</t>
  </si>
  <si>
    <t>тонасикол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</si>
  <si>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</si>
  <si>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</si>
  <si>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</si>
  <si>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</si>
  <si>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</si>
  <si>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</si>
  <si>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</si>
  <si>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</si>
  <si>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</si>
  <si>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</si>
  <si>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</si>
  <si>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</si>
  <si>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</si>
  <si>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</si>
  <si>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</si>
  <si>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</si>
  <si>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</si>
  <si>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</si>
  <si>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</si>
  <si>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</si>
  <si>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</si>
  <si>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</si>
  <si>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</si>
  <si>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</si>
  <si>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</si>
  <si>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</si>
  <si>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</si>
  <si>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</si>
  <si>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</si>
  <si>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</si>
  <si>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</si>
  <si>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</si>
  <si>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</si>
  <si>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</si>
  <si>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</si>
  <si>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</si>
  <si>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</si>
  <si>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</si>
  <si>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</si>
  <si>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</si>
  <si>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</si>
  <si>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</si>
  <si>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</si>
  <si>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</si>
  <si>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</si>
  <si>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</si>
  <si>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</si>
  <si>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</si>
  <si>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</si>
  <si>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</si>
  <si>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</si>
  <si>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</si>
  <si>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</si>
  <si>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</si>
  <si>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</si>
  <si>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</si>
  <si>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</si>
  <si>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</si>
  <si>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</si>
  <si>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</si>
  <si>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</si>
  <si>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</si>
  <si>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</si>
  <si>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</si>
  <si>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</si>
  <si>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</si>
  <si>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</si>
  <si>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</si>
  <si>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</si>
  <si>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</si>
  <si>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</si>
  <si>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</si>
  <si>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</si>
  <si>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</si>
  <si>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</si>
  <si>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</si>
  <si>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</si>
  <si>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</si>
  <si>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</si>
  <si>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</si>
  <si>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</si>
  <si>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</si>
  <si>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</si>
  <si>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</si>
  <si>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</si>
  <si>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</si>
  <si>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</si>
  <si>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</si>
  <si>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</si>
  <si>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</si>
  <si>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</si>
  <si>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</si>
  <si>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</si>
  <si>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</si>
  <si>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</si>
  <si>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</si>
  <si>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</si>
  <si>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</si>
  <si>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</si>
  <si>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</si>
  <si>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</si>
  <si>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</si>
  <si>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</si>
  <si>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</si>
  <si>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</si>
  <si>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</si>
  <si>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</si>
  <si>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</si>
  <si>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</si>
  <si>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</si>
  <si>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</si>
  <si>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</si>
  <si>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</si>
  <si>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</si>
  <si>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</si>
  <si>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</si>
  <si>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</si>
  <si>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</si>
  <si>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</si>
  <si>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</si>
  <si>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</si>
  <si>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</si>
  <si>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</si>
  <si>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</si>
  <si>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</si>
  <si>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</si>
  <si>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</si>
  <si>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</si>
  <si>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</si>
  <si>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</si>
  <si>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</si>
  <si>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</si>
  <si>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</si>
  <si>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</si>
  <si>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</si>
  <si>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</si>
  <si>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</si>
  <si>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</si>
  <si>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</si>
  <si>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</si>
  <si>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</si>
  <si>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</si>
  <si>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</si>
  <si>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</si>
  <si>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</si>
  <si>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</si>
  <si>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</si>
  <si>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</si>
  <si>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</si>
  <si>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</si>
  <si>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</si>
  <si>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</si>
  <si>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</si>
  <si>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</si>
  <si>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</si>
  <si>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</si>
  <si>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</si>
  <si>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</si>
  <si>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</si>
  <si>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</si>
  <si>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</si>
  <si>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</si>
  <si>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</si>
  <si>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</si>
  <si>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</si>
  <si>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</si>
  <si>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</si>
  <si>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</si>
  <si>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</si>
  <si>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</si>
  <si>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</si>
  <si>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</si>
  <si>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</si>
  <si>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</si>
  <si>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</si>
  <si>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</si>
  <si>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</si>
  <si>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vlunstsikol</t>
  </si>
  <si>
    <t>motorcycle, motorbike, dirt bike</t>
  </si>
  <si>
    <t>влунстсикол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</si>
  <si>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</si>
  <si>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</si>
  <si>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</si>
  <si>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</si>
  <si>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</si>
  <si>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</si>
  <si>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</si>
  <si>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</si>
  <si>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</si>
  <si>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</si>
  <si>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</si>
  <si>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</si>
  <si>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</si>
  <si>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</si>
  <si>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</si>
  <si>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</si>
  <si>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</si>
  <si>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</si>
  <si>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</si>
  <si>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</si>
  <si>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</si>
  <si>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</si>
  <si>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</si>
  <si>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</si>
  <si>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</si>
  <si>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</si>
  <si>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</si>
  <si>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</si>
  <si>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</si>
  <si>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</si>
  <si>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</si>
  <si>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</si>
  <si>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</si>
  <si>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</si>
  <si>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</si>
  <si>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</si>
  <si>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</si>
  <si>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</si>
  <si>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</si>
  <si>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</si>
  <si>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</si>
  <si>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</si>
  <si>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</si>
  <si>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</si>
  <si>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</si>
  <si>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</si>
  <si>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</si>
  <si>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</si>
  <si>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</si>
  <si>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</si>
  <si>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</si>
  <si>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</si>
  <si>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</si>
  <si>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</si>
  <si>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</si>
  <si>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</si>
  <si>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</si>
  <si>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</si>
  <si>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</si>
  <si>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</si>
  <si>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</si>
  <si>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</si>
  <si>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</si>
  <si>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</si>
  <si>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</si>
  <si>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</si>
  <si>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inside, at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</si>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</sst>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TRUE)"),"lanakon")</f>
        <v>lanakon</v>
      </c>
      <c r="H5" s="9" t="str">
        <f>IFERROR(__xludf.DUMMYFUNCTION("""COMPUTED_VALUE"""),"ally, teammate")</f>
        <v>ally, teammate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IFERROR(__xludf.DUMMYFUNCTION("""COMPUTED_VALUE"""),"biva")</f>
        <v>biva</v>
      </c>
      <c r="H6" s="18" t="str">
        <f>IFERROR(__xludf.DUMMYFUNCTION("""COMPUTED_VALUE"""),"at a place")</f>
        <v>at a place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 t="str">
        <f>IFERROR(__xludf.DUMMYFUNCTION("""COMPUTED_VALUE"""),"hemreviyta")</f>
        <v>hemreviyta</v>
      </c>
      <c r="H7" s="18" t="str">
        <f>IFERROR(__xludf.DUMMYFUNCTION("""COMPUTED_VALUE"""),"attractive, sexy")</f>
        <v>attractive, sexy</v>
      </c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 t="str">
        <f>IFERROR(__xludf.DUMMYFUNCTION("""COMPUTED_VALUE"""),"avtitiy")</f>
        <v>avtitiy</v>
      </c>
      <c r="H8" s="18" t="str">
        <f>IFERROR(__xludf.DUMMYFUNCTION("""COMPUTED_VALUE"""),"automatic")</f>
        <v>automatic</v>
      </c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 t="str">
        <f>IFERROR(__xludf.DUMMYFUNCTION("""COMPUTED_VALUE"""),"remohilm")</f>
        <v>remohilm</v>
      </c>
      <c r="H9" s="18" t="str">
        <f>IFERROR(__xludf.DUMMYFUNCTION("""COMPUTED_VALUE"""),"bathroom, restroom, public bathroom")</f>
        <v>bathroom, restroom, public bathroom</v>
      </c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 t="str">
        <f>IFERROR(__xludf.DUMMYFUNCTION("""COMPUTED_VALUE"""),"sheynatahilm")</f>
        <v>sheynatahilm</v>
      </c>
      <c r="H10" s="18" t="str">
        <f>IFERROR(__xludf.DUMMYFUNCTION("""COMPUTED_VALUE"""),"bathroom, shower room")</f>
        <v>bathroom, shower room</v>
      </c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 t="str">
        <f>IFERROR(__xludf.DUMMYFUNCTION("""COMPUTED_VALUE"""),"rukat")</f>
        <v>rukat</v>
      </c>
      <c r="H11" s="18" t="str">
        <f>IFERROR(__xludf.DUMMYFUNCTION("""COMPUTED_VALUE"""),"battery, energy cell, energy weapon battery")</f>
        <v>battery, energy cell, energy weapon battery</v>
      </c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 t="str">
        <f>IFERROR(__xludf.DUMMYFUNCTION("""COMPUTED_VALUE"""),"broylev")</f>
        <v>broylev</v>
      </c>
      <c r="H12" s="18" t="str">
        <f>IFERROR(__xludf.DUMMYFUNCTION("""COMPUTED_VALUE"""),"battle")</f>
        <v>battle</v>
      </c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 t="str">
        <f>IFERROR(__xludf.DUMMYFUNCTION("""COMPUTED_VALUE"""),"joklunlodska")</f>
        <v>joklunlodska</v>
      </c>
      <c r="H13" s="18" t="str">
        <f>IFERROR(__xludf.DUMMYFUNCTION("""COMPUTED_VALUE"""),"battleship, capital ship")</f>
        <v>battleship, capital ship</v>
      </c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 t="str">
        <f>IFERROR(__xludf.DUMMYFUNCTION("""COMPUTED_VALUE"""),"keyda")</f>
        <v>keyda</v>
      </c>
      <c r="H14" s="18" t="str">
        <f>IFERROR(__xludf.DUMMYFUNCTION("""COMPUTED_VALUE"""),"being fat")</f>
        <v>being fat</v>
      </c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 t="str">
        <f>IFERROR(__xludf.DUMMYFUNCTION("""COMPUTED_VALUE"""),"artom")</f>
        <v>artom</v>
      </c>
      <c r="H15" s="18" t="str">
        <f>IFERROR(__xludf.DUMMYFUNCTION("""COMPUTED_VALUE"""),"bullet, bolt of energy/material")</f>
        <v>bullet, bolt of energy/material</v>
      </c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 t="str">
        <f>IFERROR(__xludf.DUMMYFUNCTION("""COMPUTED_VALUE"""),"kot")</f>
        <v>kot</v>
      </c>
      <c r="H16" s="18" t="str">
        <f>IFERROR(__xludf.DUMMYFUNCTION("""COMPUTED_VALUE"""),"cat")</f>
        <v>cat</v>
      </c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 t="str">
        <f>IFERROR(__xludf.DUMMYFUNCTION("""COMPUTED_VALUE"""),"yom")</f>
        <v>yom</v>
      </c>
      <c r="H17" s="18" t="str">
        <f>IFERROR(__xludf.DUMMYFUNCTION("""COMPUTED_VALUE"""),"celsius (temperature)")</f>
        <v>celsius (temperature)</v>
      </c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 t="str">
        <f>IFERROR(__xludf.DUMMYFUNCTION("""COMPUTED_VALUE"""),"gosin")</f>
        <v>gosin</v>
      </c>
      <c r="H18" s="18" t="str">
        <f>IFERROR(__xludf.DUMMYFUNCTION("""COMPUTED_VALUE"""),"coat")</f>
        <v>coat</v>
      </c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 t="str">
        <f>IFERROR(__xludf.DUMMYFUNCTION("""COMPUTED_VALUE"""),"khnorota")</f>
        <v>khnorota</v>
      </c>
      <c r="H19" s="18" t="str">
        <f>IFERROR(__xludf.DUMMYFUNCTION("""COMPUTED_VALUE"""),"corporation, company")</f>
        <v>corporation, company</v>
      </c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 t="str">
        <f>IFERROR(__xludf.DUMMYFUNCTION("""COMPUTED_VALUE"""),"molosin")</f>
        <v>molosin</v>
      </c>
      <c r="H20" s="18" t="str">
        <f>IFERROR(__xludf.DUMMYFUNCTION("""COMPUTED_VALUE"""),"cow, cattle")</f>
        <v>cow, cattle</v>
      </c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 t="str">
        <f>IFERROR(__xludf.DUMMYFUNCTION("""COMPUTED_VALUE"""),"umeretso")</f>
        <v>umeretso</v>
      </c>
      <c r="H21" s="18" t="str">
        <f>IFERROR(__xludf.DUMMYFUNCTION("""COMPUTED_VALUE"""),"death")</f>
        <v>death</v>
      </c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 t="str">
        <f>IFERROR(__xludf.DUMMYFUNCTION("""COMPUTED_VALUE"""),"votnyako")</f>
        <v>votnyako</v>
      </c>
      <c r="H22" s="18" t="str">
        <f>IFERROR(__xludf.DUMMYFUNCTION("""COMPUTED_VALUE"""),"defeat")</f>
        <v>defeat</v>
      </c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 t="str">
        <f>IFERROR(__xludf.DUMMYFUNCTION("""COMPUTED_VALUE"""),"nyetim")</f>
        <v>nyetim</v>
      </c>
      <c r="H23" s="18" t="str">
        <f>IFERROR(__xludf.DUMMYFUNCTION("""COMPUTED_VALUE"""),"desolate, empty, dry")</f>
        <v>desolate, empty, dry</v>
      </c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 t="str">
        <f>IFERROR(__xludf.DUMMYFUNCTION("""COMPUTED_VALUE"""),"omenorst")</f>
        <v>omenorst</v>
      </c>
      <c r="H24" s="18" t="str">
        <f>IFERROR(__xludf.DUMMYFUNCTION("""COMPUTED_VALUE"""),"divination, future sight")</f>
        <v>divination, future sight</v>
      </c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 t="str">
        <f>IFERROR(__xludf.DUMMYFUNCTION("""COMPUTED_VALUE"""),"vlyevlir")</f>
        <v>vlyevlir</v>
      </c>
      <c r="H25" s="18" t="str">
        <f>IFERROR(__xludf.DUMMYFUNCTION("""COMPUTED_VALUE"""),"elevator, lift")</f>
        <v>elevator, lift</v>
      </c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 t="str">
        <f>IFERROR(__xludf.DUMMYFUNCTION("""COMPUTED_VALUE"""),"khaviko")</f>
        <v>khaviko</v>
      </c>
      <c r="H26" s="18" t="str">
        <f>IFERROR(__xludf.DUMMYFUNCTION("""COMPUTED_VALUE"""),"empire, nation, country")</f>
        <v>empire, nation, country</v>
      </c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 t="str">
        <f>IFERROR(__xludf.DUMMYFUNCTION("""COMPUTED_VALUE"""),"doteska")</f>
        <v>doteska</v>
      </c>
      <c r="H27" s="18" t="str">
        <f>IFERROR(__xludf.DUMMYFUNCTION("""COMPUTED_VALUE"""),"father")</f>
        <v>father</v>
      </c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 t="str">
        <f>IFERROR(__xludf.DUMMYFUNCTION("""COMPUTED_VALUE"""),"lenharsav")</f>
        <v>lenharsav</v>
      </c>
      <c r="H28" s="18" t="str">
        <f>IFERROR(__xludf.DUMMYFUNCTION("""COMPUTED_VALUE"""),"fortification")</f>
        <v>fortification</v>
      </c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 t="str">
        <f>IFERROR(__xludf.DUMMYFUNCTION("""COMPUTED_VALUE"""),"breyk")</f>
        <v>breyk</v>
      </c>
      <c r="H29" s="18" t="str">
        <f>IFERROR(__xludf.DUMMYFUNCTION("""COMPUTED_VALUE"""),"gate")</f>
        <v>gate</v>
      </c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 t="str">
        <f>IFERROR(__xludf.DUMMYFUNCTION("""COMPUTED_VALUE"""),"dedushka")</f>
        <v>dedushka</v>
      </c>
      <c r="H30" s="18" t="str">
        <f>IFERROR(__xludf.DUMMYFUNCTION("""COMPUTED_VALUE"""),"grandfather, grandpa")</f>
        <v>grandfather, grandpa</v>
      </c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 t="str">
        <f>IFERROR(__xludf.DUMMYFUNCTION("""COMPUTED_VALUE"""),"joklun")</f>
        <v>joklun</v>
      </c>
      <c r="H31" s="18" t="str">
        <f>IFERROR(__xludf.DUMMYFUNCTION("""COMPUTED_VALUE"""),"great, mighty")</f>
        <v>great, mighty</v>
      </c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 t="str">
        <f>IFERROR(__xludf.DUMMYFUNCTION("""COMPUTED_VALUE"""),"galon porsk")</f>
        <v>galon porsk</v>
      </c>
      <c r="H32" s="18" t="str">
        <f>IFERROR(__xludf.DUMMYFUNCTION("""COMPUTED_VALUE"""),"hazmat suit")</f>
        <v>hazmat suit</v>
      </c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 t="str">
        <f>IFERROR(__xludf.DUMMYFUNCTION("""COMPUTED_VALUE"""),"vye")</f>
        <v>vye</v>
      </c>
      <c r="H33" s="18" t="str">
        <f>IFERROR(__xludf.DUMMYFUNCTION("""COMPUTED_VALUE"""),"in, inside, at")</f>
        <v>in, inside, at</v>
      </c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 t="str">
        <f>IFERROR(__xludf.DUMMYFUNCTION("""COMPUTED_VALUE"""),"rabota")</f>
        <v>rabota</v>
      </c>
      <c r="H34" s="18" t="str">
        <f>IFERROR(__xludf.DUMMYFUNCTION("""COMPUTED_VALUE"""),"job, occupication, work")</f>
        <v>job, occupication, work</v>
      </c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 t="str">
        <f>IFERROR(__xludf.DUMMYFUNCTION("""COMPUTED_VALUE"""),"lumenov")</f>
        <v>lumenov</v>
      </c>
      <c r="H35" s="18" t="str">
        <f>IFERROR(__xludf.DUMMYFUNCTION("""COMPUTED_VALUE"""),"knowledge, information")</f>
        <v>knowledge, information</v>
      </c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 t="str">
        <f>IFERROR(__xludf.DUMMYFUNCTION("""COMPUTED_VALUE"""),"pojno")</f>
        <v>pojno</v>
      </c>
      <c r="H36" s="18" t="str">
        <f>IFERROR(__xludf.DUMMYFUNCTION("""COMPUTED_VALUE"""),"late")</f>
        <v>late</v>
      </c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 t="str">
        <f>IFERROR(__xludf.DUMMYFUNCTION("""COMPUTED_VALUE"""),"merit")</f>
        <v>merit</v>
      </c>
      <c r="H37" s="18" t="str">
        <f>IFERROR(__xludf.DUMMYFUNCTION("""COMPUTED_VALUE"""),"meat, flesh")</f>
        <v>meat, flesh</v>
      </c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 t="str">
        <f>IFERROR(__xludf.DUMMYFUNCTION("""COMPUTED_VALUE"""),"zlobra")</f>
        <v>zlobra</v>
      </c>
      <c r="H38" s="18" t="str">
        <f>IFERROR(__xludf.DUMMYFUNCTION("""COMPUTED_VALUE"""),"monster, unknown creature")</f>
        <v>monster, unknown creature</v>
      </c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 t="str">
        <f>IFERROR(__xludf.DUMMYFUNCTION("""COMPUTED_VALUE"""),"gurk")</f>
        <v>gurk</v>
      </c>
      <c r="H39" s="18" t="str">
        <f>IFERROR(__xludf.DUMMYFUNCTION("""COMPUTED_VALUE"""),"natural oil")</f>
        <v>natural oil</v>
      </c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 t="str">
        <f>IFERROR(__xludf.DUMMYFUNCTION("""COMPUTED_VALUE"""),"lovo")</f>
        <v>lovo</v>
      </c>
      <c r="H40" s="18" t="str">
        <f>IFERROR(__xludf.DUMMYFUNCTION("""COMPUTED_VALUE"""),"operator, driver, crewmember")</f>
        <v>operator, driver, crewmember</v>
      </c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 t="str">
        <f>IFERROR(__xludf.DUMMYFUNCTION("""COMPUTED_VALUE"""),"farsk")</f>
        <v>farsk</v>
      </c>
      <c r="H41" s="18" t="str">
        <f>IFERROR(__xludf.DUMMYFUNCTION("""COMPUTED_VALUE"""),"patrol")</f>
        <v>patrol</v>
      </c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 t="str">
        <f>IFERROR(__xludf.DUMMYFUNCTION("""COMPUTED_VALUE"""),"krat")</f>
        <v>krat</v>
      </c>
      <c r="H42" s="18" t="str">
        <f>IFERROR(__xludf.DUMMYFUNCTION("""COMPUTED_VALUE"""),"place, location")</f>
        <v>place, location</v>
      </c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 t="str">
        <f>IFERROR(__xludf.DUMMYFUNCTION("""COMPUTED_VALUE"""),"oborsk")</f>
        <v>oborsk</v>
      </c>
      <c r="H43" s="18" t="str">
        <f>IFERROR(__xludf.DUMMYFUNCTION("""COMPUTED_VALUE"""),"potato")</f>
        <v>potato</v>
      </c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 t="str">
        <f>IFERROR(__xludf.DUMMYFUNCTION("""COMPUTED_VALUE"""),"katalizator")</f>
        <v>katalizator</v>
      </c>
      <c r="H44" s="18" t="str">
        <f>IFERROR(__xludf.DUMMYFUNCTION("""COMPUTED_VALUE"""),"potion base, brewing base, catalyst")</f>
        <v>potion base, brewing base, catalyst</v>
      </c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 t="str">
        <f>IFERROR(__xludf.DUMMYFUNCTION("""COMPUTED_VALUE"""),"sheynata")</f>
        <v>sheynata</v>
      </c>
      <c r="H45" s="18" t="str">
        <f>IFERROR(__xludf.DUMMYFUNCTION("""COMPUTED_VALUE"""),"rainy weather")</f>
        <v>rainy weather</v>
      </c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 t="str">
        <f>IFERROR(__xludf.DUMMYFUNCTION("""COMPUTED_VALUE"""),"drosel")</f>
        <v>drosel</v>
      </c>
      <c r="H46" s="18" t="str">
        <f>IFERROR(__xludf.DUMMYFUNCTION("""COMPUTED_VALUE"""),"reactor, generator")</f>
        <v>reactor, generator</v>
      </c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 t="str">
        <f>IFERROR(__xludf.DUMMYFUNCTION("""COMPUTED_VALUE"""),"otveto yadro")</f>
        <v>otveto yadro</v>
      </c>
      <c r="H47" s="18" t="str">
        <f>IFERROR(__xludf.DUMMYFUNCTION("""COMPUTED_VALUE"""),"reactor, generator (formal)")</f>
        <v>reactor, generator (formal)</v>
      </c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 t="str">
        <f>IFERROR(__xludf.DUMMYFUNCTION("""COMPUTED_VALUE"""),"losik")</f>
        <v>losik</v>
      </c>
      <c r="H48" s="18" t="str">
        <f>IFERROR(__xludf.DUMMYFUNCTION("""COMPUTED_VALUE"""),"station, outpost")</f>
        <v>station, outpost</v>
      </c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 t="str">
        <f>IFERROR(__xludf.DUMMYFUNCTION("""COMPUTED_VALUE"""),"yetol")</f>
        <v>yetol</v>
      </c>
      <c r="H49" s="18" t="str">
        <f>IFERROR(__xludf.DUMMYFUNCTION("""COMPUTED_VALUE"""),"superior, greater, better")</f>
        <v>superior, greater, better</v>
      </c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 t="str">
        <f>IFERROR(__xludf.DUMMYFUNCTION("""COMPUTED_VALUE"""),"kerem")</f>
        <v>kerem</v>
      </c>
      <c r="H50" s="18" t="str">
        <f>IFERROR(__xludf.DUMMYFUNCTION("""COMPUTED_VALUE"""),"surcoat, tabard")</f>
        <v>surcoat, tabard</v>
      </c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 t="str">
        <f>IFERROR(__xludf.DUMMYFUNCTION("""COMPUTED_VALUE"""),"pot")</f>
        <v>pot</v>
      </c>
      <c r="H51" s="18" t="str">
        <f>IFERROR(__xludf.DUMMYFUNCTION("""COMPUTED_VALUE"""),"sweat")</f>
        <v>sweat</v>
      </c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 t="str">
        <f>IFERROR(__xludf.DUMMYFUNCTION("""COMPUTED_VALUE"""),"yonom")</f>
        <v>yonom</v>
      </c>
      <c r="H52" s="18" t="str">
        <f>IFERROR(__xludf.DUMMYFUNCTION("""COMPUTED_VALUE"""),"temperature, heat")</f>
        <v>temperature, heat</v>
      </c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 t="str">
        <f>IFERROR(__xludf.DUMMYFUNCTION("""COMPUTED_VALUE"""),"vat")</f>
        <v>vat</v>
      </c>
      <c r="H53" s="18" t="str">
        <f>IFERROR(__xludf.DUMMYFUNCTION("""COMPUTED_VALUE"""),"that")</f>
        <v>that</v>
      </c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 t="str">
        <f>IFERROR(__xludf.DUMMYFUNCTION("""COMPUTED_VALUE"""),"melsken")</f>
        <v>melsken</v>
      </c>
      <c r="H54" s="18" t="str">
        <f>IFERROR(__xludf.DUMMYFUNCTION("""COMPUTED_VALUE"""),"to approach, to arrive, to enter location")</f>
        <v>to approach, to arrive, to enter location</v>
      </c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 t="str">
        <f>IFERROR(__xludf.DUMMYFUNCTION("""COMPUTED_VALUE"""),"tromyat")</f>
        <v>tromyat</v>
      </c>
      <c r="H55" s="18" t="str">
        <f>IFERROR(__xludf.DUMMYFUNCTION("""COMPUTED_VALUE"""),"to attack")</f>
        <v>to attack</v>
      </c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 t="str">
        <f>IFERROR(__xludf.DUMMYFUNCTION("""COMPUTED_VALUE"""),"byortomya")</f>
        <v>byortomya</v>
      </c>
      <c r="H56" s="18" t="str">
        <f>IFERROR(__xludf.DUMMYFUNCTION("""COMPUTED_VALUE"""),"to barricade, to block a pathway")</f>
        <v>to barricade, to block a pathway</v>
      </c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 t="str">
        <f>IFERROR(__xludf.DUMMYFUNCTION("""COMPUTED_VALUE"""),"cherslyosiba")</f>
        <v>cherslyosiba</v>
      </c>
      <c r="H57" s="18" t="str">
        <f>IFERROR(__xludf.DUMMYFUNCTION("""COMPUTED_VALUE"""),"to be really fond of, to crush on, to be infatuated with")</f>
        <v>to be really fond of, to crush on, to be infatuated with</v>
      </c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 t="str">
        <f>IFERROR(__xludf.DUMMYFUNCTION("""COMPUTED_VALUE"""),"skadzosit")</f>
        <v>skadzosit</v>
      </c>
      <c r="H58" s="18" t="str">
        <f>IFERROR(__xludf.DUMMYFUNCTION("""COMPUTED_VALUE"""),"to concentrate, to focus")</f>
        <v>to concentrate, to focus</v>
      </c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 t="str">
        <f>IFERROR(__xludf.DUMMYFUNCTION("""COMPUTED_VALUE"""),"lakdat")</f>
        <v>lakdat</v>
      </c>
      <c r="H59" s="18" t="str">
        <f>IFERROR(__xludf.DUMMYFUNCTION("""COMPUTED_VALUE"""),"to connect, to link together, to attach")</f>
        <v>to connect, to link together, to attach</v>
      </c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 t="str">
        <f>IFERROR(__xludf.DUMMYFUNCTION("""COMPUTED_VALUE"""),"braykyat")</f>
        <v>braykyat</v>
      </c>
      <c r="H60" s="18" t="str">
        <f>IFERROR(__xludf.DUMMYFUNCTION("""COMPUTED_VALUE"""),"to control, to manipulate")</f>
        <v>to control, to manipulate</v>
      </c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 t="str">
        <f>IFERROR(__xludf.DUMMYFUNCTION("""COMPUTED_VALUE"""),"khnulavat")</f>
        <v>khnulavat</v>
      </c>
      <c r="H61" s="18" t="str">
        <f>IFERROR(__xludf.DUMMYFUNCTION("""COMPUTED_VALUE"""),"to defile, to make dirty, to violate")</f>
        <v>to defile, to make dirty, to violate</v>
      </c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 t="str">
        <f>IFERROR(__xludf.DUMMYFUNCTION("""COMPUTED_VALUE"""),"donomyet")</f>
        <v>donomyet</v>
      </c>
      <c r="H62" s="18" t="str">
        <f>IFERROR(__xludf.DUMMYFUNCTION("""COMPUTED_VALUE"""),"to disintegrate, to turn into dust")</f>
        <v>to disintegrate, to turn into dust</v>
      </c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 t="str">
        <f>IFERROR(__xludf.DUMMYFUNCTION("""COMPUTED_VALUE"""),"yetosya")</f>
        <v>yetosya</v>
      </c>
      <c r="H63" s="18" t="str">
        <f>IFERROR(__xludf.DUMMYFUNCTION("""COMPUTED_VALUE"""),"to eat")</f>
        <v>to eat</v>
      </c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 t="str">
        <f>IFERROR(__xludf.DUMMYFUNCTION("""COMPUTED_VALUE"""),"vnikyat")</f>
        <v>vnikyat</v>
      </c>
      <c r="H64" s="18" t="str">
        <f>IFERROR(__xludf.DUMMYFUNCTION("""COMPUTED_VALUE"""),"to generate, to make from nothing")</f>
        <v>to generate, to make from nothing</v>
      </c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 t="str">
        <f>IFERROR(__xludf.DUMMYFUNCTION("""COMPUTED_VALUE"""),"nyavidet")</f>
        <v>nyavidet</v>
      </c>
      <c r="H65" s="18" t="str">
        <f>IFERROR(__xludf.DUMMYFUNCTION("""COMPUTED_VALUE"""),"to hate")</f>
        <v>to hate</v>
      </c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 t="str">
        <f>IFERROR(__xludf.DUMMYFUNCTION("""COMPUTED_VALUE"""),"ahak")</f>
        <v>ahak</v>
      </c>
      <c r="H66" s="18" t="str">
        <f>IFERROR(__xludf.DUMMYFUNCTION("""COMPUTED_VALUE"""),"to impale, to penetrate, to pierce")</f>
        <v>to impale, to penetrate, to pierce</v>
      </c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 t="str">
        <f>IFERROR(__xludf.DUMMYFUNCTION("""COMPUTED_VALUE"""),"somyenat")</f>
        <v>somyenat</v>
      </c>
      <c r="H67" s="18" t="str">
        <f>IFERROR(__xludf.DUMMYFUNCTION("""COMPUTED_VALUE"""),"to manufacture, to mechanically create/make")</f>
        <v>to manufacture, to mechanically create/make</v>
      </c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 t="str">
        <f>IFERROR(__xludf.DUMMYFUNCTION("""COMPUTED_VALUE"""),"dergatsyat")</f>
        <v>dergatsyat</v>
      </c>
      <c r="H68" s="18" t="str">
        <f>IFERROR(__xludf.DUMMYFUNCTION("""COMPUTED_VALUE"""),"to masturbate")</f>
        <v>to masturbate</v>
      </c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 t="str">
        <f>IFERROR(__xludf.DUMMYFUNCTION("""COMPUTED_VALUE"""),"povtorit")</f>
        <v>povtorit</v>
      </c>
      <c r="H69" s="18" t="str">
        <f>IFERROR(__xludf.DUMMYFUNCTION("""COMPUTED_VALUE"""),"to repeat")</f>
        <v>to repeat</v>
      </c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 t="str">
        <f>IFERROR(__xludf.DUMMYFUNCTION("""COMPUTED_VALUE"""),"smotret")</f>
        <v>smotret</v>
      </c>
      <c r="H70" s="18" t="str">
        <f>IFERROR(__xludf.DUMMYFUNCTION("""COMPUTED_VALUE"""),"to stare, to gaze at, to look intensely")</f>
        <v>to stare, to gaze at, to look intensely</v>
      </c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 t="str">
        <f>IFERROR(__xludf.DUMMYFUNCTION("""COMPUTED_VALUE"""),"teviysya")</f>
        <v>teviysya</v>
      </c>
      <c r="H71" s="18" t="str">
        <f>IFERROR(__xludf.DUMMYFUNCTION("""COMPUTED_VALUE"""),"to watch")</f>
        <v>to watch</v>
      </c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 t="str">
        <f>IFERROR(__xludf.DUMMYFUNCTION("""COMPUTED_VALUE"""),"ta")</f>
        <v>ta</v>
      </c>
      <c r="H72" s="18" t="str">
        <f>IFERROR(__xludf.DUMMYFUNCTION("""COMPUTED_VALUE"""),"to, towards, for, at, till")</f>
        <v>to, towards, for, at, till</v>
      </c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 t="str">
        <f>IFERROR(__xludf.DUMMYFUNCTION("""COMPUTED_VALUE"""),"toyalodska")</f>
        <v>toyalodska</v>
      </c>
      <c r="H73" s="18" t="str">
        <f>IFERROR(__xludf.DUMMYFUNCTION("""COMPUTED_VALUE"""),"traveler, traveling ship (not a battleship)")</f>
        <v>traveler, traveling ship (not a battleship)</v>
      </c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 t="str">
        <f>IFERROR(__xludf.DUMMYFUNCTION("""COMPUTED_VALUE"""),"sevel")</f>
        <v>sevel</v>
      </c>
      <c r="H74" s="18" t="str">
        <f>IFERROR(__xludf.DUMMYFUNCTION("""COMPUTED_VALUE"""),"water")</f>
        <v>water</v>
      </c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 t="str">
        <f>IFERROR(__xludf.DUMMYFUNCTION("""COMPUTED_VALUE"""),"dopoga")</f>
        <v>dopoga</v>
      </c>
      <c r="H75" s="18" t="str">
        <f>IFERROR(__xludf.DUMMYFUNCTION("""COMPUTED_VALUE"""),"weather")</f>
        <v>weather</v>
      </c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 t="str">
        <f>IFERROR(__xludf.DUMMYFUNCTION("""COMPUTED_VALUE"""),"vlun")</f>
        <v>vlun</v>
      </c>
      <c r="H76" s="18" t="str">
        <f>IFERROR(__xludf.DUMMYFUNCTION("""COMPUTED_VALUE"""),"what")</f>
        <v>what</v>
      </c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 t="str">
        <f>IFERROR(__xludf.DUMMYFUNCTION("""COMPUTED_VALUE"""),"vlo za fyadkaziy")</f>
        <v>vlo za fyadkaziy</v>
      </c>
      <c r="H77" s="18" t="str">
        <f>IFERROR(__xludf.DUMMYFUNCTION("""COMPUTED_VALUE"""),"what the hell, wtf (cuss)")</f>
        <v>what the hell, wtf (cuss)</v>
      </c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1258</v>
      </c>
      <c r="B365" s="14" t="s">
        <v>1259</v>
      </c>
      <c r="C365" s="14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1285</v>
      </c>
      <c r="B374" s="9" t="s">
        <v>1286</v>
      </c>
      <c r="C374" s="9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1294</v>
      </c>
      <c r="B377" s="14" t="s">
        <v>1295</v>
      </c>
      <c r="C377" s="14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1297</v>
      </c>
      <c r="B378" s="9" t="s">
        <v>1298</v>
      </c>
      <c r="C378" s="9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20" t="s">
        <v>1303</v>
      </c>
      <c r="B380" s="20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1318</v>
      </c>
      <c r="B385" s="14" t="s">
        <v>1319</v>
      </c>
      <c r="C385" s="14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1348</v>
      </c>
      <c r="B395" s="9" t="s">
        <v>1349</v>
      </c>
      <c r="C395" s="9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1351</v>
      </c>
      <c r="B396" s="14" t="s">
        <v>1352</v>
      </c>
      <c r="C396" s="14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1357</v>
      </c>
      <c r="B398" s="14" t="s">
        <v>1358</v>
      </c>
      <c r="C398" s="14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1376</v>
      </c>
      <c r="C404" s="14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1384</v>
      </c>
      <c r="B407" s="9" t="s">
        <v>1385</v>
      </c>
      <c r="C407" s="9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1387</v>
      </c>
      <c r="B408" s="14" t="s">
        <v>1388</v>
      </c>
      <c r="C408" s="14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1390</v>
      </c>
      <c r="B409" s="9" t="s">
        <v>1391</v>
      </c>
      <c r="C409" s="9" t="s">
        <v>1392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1393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1403</v>
      </c>
      <c r="B414" s="9" t="s">
        <v>1404</v>
      </c>
      <c r="C414" s="9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1409</v>
      </c>
      <c r="B416" s="9" t="s">
        <v>1410</v>
      </c>
      <c r="C416" s="9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1421</v>
      </c>
      <c r="B420" s="14" t="s">
        <v>1422</v>
      </c>
      <c r="C420" s="14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0" t="s">
        <v>1433</v>
      </c>
      <c r="B424" s="20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27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1439</v>
      </c>
      <c r="B426" s="9" t="s">
        <v>1440</v>
      </c>
      <c r="C426" s="9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1451</v>
      </c>
      <c r="B430" s="14" t="s">
        <v>1452</v>
      </c>
      <c r="C430" s="14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14" t="s">
        <v>1466</v>
      </c>
      <c r="B435" s="14" t="s">
        <v>1467</v>
      </c>
      <c r="C435" s="14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1478</v>
      </c>
      <c r="B439" s="14" t="s">
        <v>1479</v>
      </c>
      <c r="C439" s="14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1517</v>
      </c>
      <c r="B452" s="14" t="s">
        <v>1518</v>
      </c>
      <c r="C452" s="14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1532</v>
      </c>
      <c r="B457" s="9" t="s">
        <v>1533</v>
      </c>
      <c r="C457" s="9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1556</v>
      </c>
      <c r="B465" s="14" t="s">
        <v>1557</v>
      </c>
      <c r="C465" s="14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1559</v>
      </c>
      <c r="B466" s="9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1562</v>
      </c>
      <c r="B467" s="14" t="s">
        <v>1563</v>
      </c>
      <c r="C467" s="14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9" t="s">
        <v>1565</v>
      </c>
      <c r="B468" s="9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20" t="s">
        <v>1568</v>
      </c>
      <c r="B469" s="20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1580</v>
      </c>
      <c r="B473" s="9" t="s">
        <v>1581</v>
      </c>
      <c r="C473" s="9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1601</v>
      </c>
      <c r="B480" s="14" t="s">
        <v>1602</v>
      </c>
      <c r="C480" s="14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1610</v>
      </c>
      <c r="B483" s="9" t="s">
        <v>1611</v>
      </c>
      <c r="C483" s="9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9" t="s">
        <v>1623</v>
      </c>
      <c r="C487" s="9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1652</v>
      </c>
      <c r="B497" s="9" t="s">
        <v>1653</v>
      </c>
      <c r="C497" s="9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1658</v>
      </c>
      <c r="B499" s="9" t="s">
        <v>1659</v>
      </c>
      <c r="C499" s="9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1667</v>
      </c>
      <c r="B502" s="14" t="s">
        <v>1668</v>
      </c>
      <c r="C502" s="14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1703</v>
      </c>
      <c r="B514" s="14" t="s">
        <v>1704</v>
      </c>
      <c r="C514" s="14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1712</v>
      </c>
      <c r="B517" s="9" t="s">
        <v>1713</v>
      </c>
      <c r="C517" s="9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1727</v>
      </c>
      <c r="B522" s="14" t="s">
        <v>1728</v>
      </c>
      <c r="C522" s="14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1730</v>
      </c>
      <c r="B523" s="9" t="s">
        <v>1731</v>
      </c>
      <c r="C523" s="9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1745</v>
      </c>
      <c r="B528" s="9" t="s">
        <v>1746</v>
      </c>
      <c r="C528" s="9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1775</v>
      </c>
      <c r="B538" s="14" t="s">
        <v>1776</v>
      </c>
      <c r="C538" s="14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1778</v>
      </c>
      <c r="B539" s="9" t="s">
        <v>1779</v>
      </c>
      <c r="C539" s="9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2000</v>
      </c>
      <c r="B613" s="14" t="s">
        <v>2001</v>
      </c>
      <c r="C613" s="14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2009</v>
      </c>
      <c r="B616" s="9" t="s">
        <v>2010</v>
      </c>
      <c r="C616" s="9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2015</v>
      </c>
      <c r="B618" s="14" t="s">
        <v>2016</v>
      </c>
      <c r="C618" s="14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14" t="s">
        <v>2021</v>
      </c>
      <c r="B620" s="14" t="s">
        <v>2022</v>
      </c>
      <c r="C620" s="14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9" t="s">
        <v>2030</v>
      </c>
      <c r="B623" s="9" t="s">
        <v>2031</v>
      </c>
      <c r="C623" s="9" t="s">
        <v>2032</v>
      </c>
    </row>
    <row r="624">
      <c r="A624" s="9" t="s">
        <v>2033</v>
      </c>
      <c r="B624" s="9" t="s">
        <v>2034</v>
      </c>
      <c r="C624" s="9" t="s">
        <v>2035</v>
      </c>
    </row>
    <row r="625">
      <c r="A625" s="14" t="s">
        <v>2036</v>
      </c>
      <c r="B625" s="14" t="s">
        <v>2037</v>
      </c>
      <c r="C625" s="14" t="s">
        <v>2038</v>
      </c>
    </row>
    <row r="626">
      <c r="A626" s="9" t="s">
        <v>2039</v>
      </c>
      <c r="B626" s="9" t="s">
        <v>2040</v>
      </c>
      <c r="C626" s="14" t="s">
        <v>2041</v>
      </c>
    </row>
    <row r="627">
      <c r="A627" s="14" t="s">
        <v>2042</v>
      </c>
      <c r="B627" s="14" t="s">
        <v>2043</v>
      </c>
      <c r="C627" s="14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9" t="s">
        <v>2048</v>
      </c>
      <c r="B629" s="9" t="s">
        <v>2049</v>
      </c>
      <c r="C629" s="9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14" t="s">
        <v>2054</v>
      </c>
      <c r="B631" s="14" t="s">
        <v>2055</v>
      </c>
      <c r="C631" s="14" t="s">
        <v>2056</v>
      </c>
    </row>
    <row r="632">
      <c r="A632" s="14" t="s">
        <v>2057</v>
      </c>
      <c r="B632" s="14" t="s">
        <v>2058</v>
      </c>
      <c r="C632" s="14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9" t="s">
        <v>2072</v>
      </c>
      <c r="B637" s="9" t="s">
        <v>2073</v>
      </c>
      <c r="C637" s="9" t="s">
        <v>2074</v>
      </c>
    </row>
    <row r="638">
      <c r="A638" s="20" t="s">
        <v>2075</v>
      </c>
      <c r="B638" s="20" t="s">
        <v>2076</v>
      </c>
      <c r="C638" s="10" t="s">
        <v>2077</v>
      </c>
    </row>
    <row r="639">
      <c r="A639" s="9" t="s">
        <v>2078</v>
      </c>
      <c r="B639" s="9" t="s">
        <v>2079</v>
      </c>
      <c r="C639" s="9" t="s">
        <v>2080</v>
      </c>
    </row>
    <row r="640">
      <c r="A640" s="14" t="s">
        <v>2081</v>
      </c>
      <c r="B640" s="14" t="s">
        <v>2082</v>
      </c>
      <c r="C640" s="14" t="s">
        <v>2083</v>
      </c>
    </row>
    <row r="641">
      <c r="A641" s="9" t="s">
        <v>2084</v>
      </c>
      <c r="B641" s="9" t="s">
        <v>2085</v>
      </c>
      <c r="C641" s="9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14" t="s">
        <v>2093</v>
      </c>
      <c r="B644" s="14" t="s">
        <v>2094</v>
      </c>
      <c r="C644" s="14" t="s">
        <v>2095</v>
      </c>
    </row>
    <row r="645">
      <c r="A645" s="9" t="s">
        <v>2096</v>
      </c>
      <c r="B645" s="9" t="s">
        <v>2097</v>
      </c>
      <c r="C645" s="9" t="s">
        <v>2098</v>
      </c>
    </row>
    <row r="646">
      <c r="A646" s="14" t="s">
        <v>2099</v>
      </c>
      <c r="B646" s="14" t="s">
        <v>2100</v>
      </c>
      <c r="C646" s="14" t="s">
        <v>2101</v>
      </c>
    </row>
    <row r="647">
      <c r="A647" s="9" t="s">
        <v>2102</v>
      </c>
      <c r="B647" s="9" t="s">
        <v>2103</v>
      </c>
      <c r="C647" s="9" t="s">
        <v>2104</v>
      </c>
    </row>
    <row r="648">
      <c r="A648" s="14" t="s">
        <v>2105</v>
      </c>
      <c r="B648" s="14" t="s">
        <v>2106</v>
      </c>
      <c r="C648" s="14" t="s">
        <v>2107</v>
      </c>
    </row>
    <row r="649">
      <c r="A649" s="9" t="s">
        <v>2108</v>
      </c>
      <c r="B649" s="9" t="s">
        <v>2109</v>
      </c>
      <c r="C649" s="9" t="s">
        <v>2110</v>
      </c>
    </row>
    <row r="650">
      <c r="A650" s="14" t="s">
        <v>2111</v>
      </c>
      <c r="B650" s="14" t="s">
        <v>2112</v>
      </c>
      <c r="C650" s="14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9" t="s">
        <v>2117</v>
      </c>
      <c r="B652" s="9" t="s">
        <v>2118</v>
      </c>
      <c r="C652" s="9" t="s">
        <v>2119</v>
      </c>
    </row>
    <row r="653">
      <c r="A653" s="9" t="s">
        <v>2120</v>
      </c>
      <c r="B653" s="9" t="s">
        <v>2121</v>
      </c>
      <c r="C653" s="9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14" t="s">
        <v>2126</v>
      </c>
      <c r="B655" s="14" t="s">
        <v>2127</v>
      </c>
      <c r="C655" s="14" t="s">
        <v>2128</v>
      </c>
    </row>
    <row r="656">
      <c r="A656" s="14" t="s">
        <v>2129</v>
      </c>
      <c r="B656" s="14" t="s">
        <v>2130</v>
      </c>
      <c r="C656" s="14" t="s">
        <v>2131</v>
      </c>
    </row>
    <row r="657">
      <c r="A657" s="14" t="s">
        <v>2132</v>
      </c>
      <c r="B657" s="14" t="s">
        <v>2133</v>
      </c>
      <c r="C657" s="14" t="s">
        <v>2134</v>
      </c>
    </row>
    <row r="658">
      <c r="A658" s="9" t="s">
        <v>2135</v>
      </c>
      <c r="B658" s="9" t="s">
        <v>2136</v>
      </c>
      <c r="C658" s="9" t="s">
        <v>2137</v>
      </c>
    </row>
    <row r="659">
      <c r="A659" s="9" t="s">
        <v>2138</v>
      </c>
      <c r="B659" s="9" t="s">
        <v>2139</v>
      </c>
      <c r="C659" s="9" t="s">
        <v>2140</v>
      </c>
    </row>
    <row r="660">
      <c r="A660" s="9" t="s">
        <v>2141</v>
      </c>
      <c r="B660" s="14" t="s">
        <v>2142</v>
      </c>
      <c r="C660" s="9" t="s">
        <v>2143</v>
      </c>
    </row>
    <row r="661">
      <c r="A661" s="14" t="s">
        <v>2144</v>
      </c>
      <c r="B661" s="14" t="s">
        <v>2145</v>
      </c>
      <c r="C661" s="14" t="s">
        <v>2146</v>
      </c>
    </row>
    <row r="662">
      <c r="A662" s="14" t="s">
        <v>2147</v>
      </c>
      <c r="B662" s="14" t="s">
        <v>2148</v>
      </c>
      <c r="C662" s="14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20" t="s">
        <v>2162</v>
      </c>
      <c r="B667" s="20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9" t="s">
        <v>2168</v>
      </c>
      <c r="B669" s="9" t="s">
        <v>2169</v>
      </c>
      <c r="C669" s="9" t="s">
        <v>2170</v>
      </c>
    </row>
    <row r="670">
      <c r="A670" s="9" t="s">
        <v>2171</v>
      </c>
      <c r="B670" s="9" t="s">
        <v>2172</v>
      </c>
      <c r="C670" s="9" t="s">
        <v>2173</v>
      </c>
    </row>
    <row r="671">
      <c r="A671" s="9" t="s">
        <v>2174</v>
      </c>
      <c r="B671" s="9" t="s">
        <v>2175</v>
      </c>
      <c r="C671" s="9" t="s">
        <v>2176</v>
      </c>
    </row>
    <row r="672">
      <c r="A672" s="14" t="s">
        <v>2177</v>
      </c>
      <c r="B672" s="14" t="s">
        <v>2178</v>
      </c>
      <c r="C672" s="14" t="s">
        <v>2179</v>
      </c>
    </row>
    <row r="673">
      <c r="A673" s="14" t="s">
        <v>2180</v>
      </c>
      <c r="B673" s="14" t="s">
        <v>2181</v>
      </c>
      <c r="C673" s="14" t="s">
        <v>2182</v>
      </c>
    </row>
    <row r="674">
      <c r="A674" s="14" t="s">
        <v>2183</v>
      </c>
      <c r="B674" s="14" t="s">
        <v>2184</v>
      </c>
      <c r="C674" s="14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14" t="s">
        <v>2189</v>
      </c>
      <c r="B676" s="14" t="s">
        <v>2190</v>
      </c>
      <c r="C676" s="14" t="s">
        <v>2191</v>
      </c>
    </row>
    <row r="677">
      <c r="A677" s="9" t="s">
        <v>2192</v>
      </c>
      <c r="B677" s="9" t="s">
        <v>2193</v>
      </c>
      <c r="C677" s="9" t="s">
        <v>2194</v>
      </c>
    </row>
    <row r="678">
      <c r="A678" s="9" t="s">
        <v>2195</v>
      </c>
      <c r="B678" s="9" t="s">
        <v>2196</v>
      </c>
      <c r="C678" s="9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14" t="s">
        <v>2201</v>
      </c>
      <c r="B680" s="14" t="s">
        <v>2202</v>
      </c>
      <c r="C680" s="14" t="s">
        <v>2203</v>
      </c>
    </row>
    <row r="681">
      <c r="A681" s="9" t="s">
        <v>2204</v>
      </c>
      <c r="B681" s="9" t="s">
        <v>2205</v>
      </c>
      <c r="C681" s="9" t="s">
        <v>2206</v>
      </c>
    </row>
    <row r="682">
      <c r="A682" s="14" t="s">
        <v>2207</v>
      </c>
      <c r="B682" s="14" t="s">
        <v>2208</v>
      </c>
      <c r="C682" s="14" t="s">
        <v>2209</v>
      </c>
    </row>
    <row r="683">
      <c r="A683" s="9" t="s">
        <v>2210</v>
      </c>
      <c r="B683" s="9" t="s">
        <v>2211</v>
      </c>
      <c r="C683" s="9" t="s">
        <v>2212</v>
      </c>
    </row>
    <row r="684">
      <c r="A684" s="14" t="s">
        <v>2213</v>
      </c>
      <c r="B684" s="14" t="s">
        <v>2214</v>
      </c>
      <c r="C684" s="14" t="s">
        <v>2215</v>
      </c>
    </row>
    <row r="685">
      <c r="A685" s="9" t="s">
        <v>2216</v>
      </c>
      <c r="B685" s="9" t="s">
        <v>2217</v>
      </c>
      <c r="C685" s="9" t="s">
        <v>2218</v>
      </c>
    </row>
    <row r="686">
      <c r="A686" s="14" t="s">
        <v>2219</v>
      </c>
      <c r="B686" s="14" t="s">
        <v>2220</v>
      </c>
      <c r="C686" s="14" t="s">
        <v>2221</v>
      </c>
    </row>
    <row r="687">
      <c r="A687" s="14" t="s">
        <v>2222</v>
      </c>
      <c r="B687" s="14" t="s">
        <v>2223</v>
      </c>
      <c r="C687" s="14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9" t="s">
        <v>2228</v>
      </c>
      <c r="B689" s="9" t="s">
        <v>2229</v>
      </c>
      <c r="C689" s="9" t="s">
        <v>2230</v>
      </c>
    </row>
    <row r="690">
      <c r="A690" s="9" t="s">
        <v>2231</v>
      </c>
      <c r="B690" s="9" t="s">
        <v>2232</v>
      </c>
      <c r="C690" s="9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9" t="s">
        <v>2237</v>
      </c>
      <c r="B692" s="9" t="s">
        <v>2238</v>
      </c>
      <c r="C692" s="9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14" t="s">
        <v>2243</v>
      </c>
      <c r="B694" s="14" t="s">
        <v>2244</v>
      </c>
      <c r="C694" s="14" t="s">
        <v>2245</v>
      </c>
    </row>
    <row r="695">
      <c r="A695" s="14" t="s">
        <v>2246</v>
      </c>
      <c r="B695" s="14" t="s">
        <v>2247</v>
      </c>
      <c r="C695" s="14" t="s">
        <v>2248</v>
      </c>
    </row>
    <row r="696">
      <c r="A696" s="9" t="s">
        <v>2249</v>
      </c>
      <c r="B696" s="9" t="s">
        <v>2250</v>
      </c>
      <c r="C696" s="9" t="s">
        <v>2251</v>
      </c>
    </row>
    <row r="697">
      <c r="A697" s="14" t="s">
        <v>2252</v>
      </c>
      <c r="B697" s="14" t="s">
        <v>2253</v>
      </c>
      <c r="C697" s="14" t="s">
        <v>2254</v>
      </c>
    </row>
    <row r="698">
      <c r="A698" s="14" t="s">
        <v>2255</v>
      </c>
      <c r="B698" s="14" t="s">
        <v>2256</v>
      </c>
      <c r="C698" s="14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9" t="s">
        <v>2264</v>
      </c>
      <c r="B701" s="9" t="s">
        <v>2265</v>
      </c>
      <c r="C701" s="9" t="s">
        <v>2266</v>
      </c>
    </row>
    <row r="702">
      <c r="A702" s="9" t="s">
        <v>2267</v>
      </c>
      <c r="B702" s="9" t="s">
        <v>2268</v>
      </c>
      <c r="C702" s="9" t="s">
        <v>2269</v>
      </c>
    </row>
    <row r="703">
      <c r="A703" s="9" t="s">
        <v>2270</v>
      </c>
      <c r="B703" s="9" t="s">
        <v>2271</v>
      </c>
      <c r="C703" s="9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14" t="s">
        <v>2276</v>
      </c>
      <c r="B705" s="14" t="s">
        <v>2277</v>
      </c>
      <c r="C705" s="14" t="s">
        <v>2278</v>
      </c>
    </row>
    <row r="706">
      <c r="A706" s="14" t="s">
        <v>2279</v>
      </c>
      <c r="B706" s="14" t="s">
        <v>2280</v>
      </c>
      <c r="C706" s="14" t="s">
        <v>2281</v>
      </c>
    </row>
    <row r="707">
      <c r="A707" s="14" t="s">
        <v>2282</v>
      </c>
      <c r="B707" s="14" t="s">
        <v>2283</v>
      </c>
      <c r="C707" s="14" t="s">
        <v>2284</v>
      </c>
    </row>
    <row r="708">
      <c r="A708" s="9" t="s">
        <v>2285</v>
      </c>
      <c r="B708" s="9" t="s">
        <v>2286</v>
      </c>
      <c r="C708" s="9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14" t="s">
        <v>2291</v>
      </c>
      <c r="B710" s="14" t="s">
        <v>2292</v>
      </c>
      <c r="C710" s="14" t="s">
        <v>2293</v>
      </c>
    </row>
    <row r="711">
      <c r="A711" s="9" t="s">
        <v>2294</v>
      </c>
      <c r="B711" s="9" t="s">
        <v>2295</v>
      </c>
      <c r="C711" s="9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14" t="s">
        <v>2300</v>
      </c>
      <c r="B713" s="14" t="s">
        <v>2301</v>
      </c>
      <c r="C713" s="14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9" t="s">
        <v>2306</v>
      </c>
      <c r="B715" s="9" t="s">
        <v>2307</v>
      </c>
      <c r="C715" s="9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14" t="s">
        <v>2312</v>
      </c>
      <c r="B717" s="14" t="s">
        <v>2313</v>
      </c>
      <c r="C717" s="14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14" t="s">
        <v>2321</v>
      </c>
      <c r="B720" s="14" t="s">
        <v>2322</v>
      </c>
      <c r="C720" s="14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9" t="s">
        <v>2327</v>
      </c>
      <c r="B722" s="9" t="s">
        <v>2328</v>
      </c>
      <c r="C722" s="9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14" t="s">
        <v>2333</v>
      </c>
      <c r="B724" s="14" t="s">
        <v>2334</v>
      </c>
      <c r="C724" s="14" t="s">
        <v>2335</v>
      </c>
    </row>
    <row r="725">
      <c r="A725" s="14" t="s">
        <v>2336</v>
      </c>
      <c r="B725" s="14" t="s">
        <v>2337</v>
      </c>
      <c r="C725" s="14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9" t="s">
        <v>2342</v>
      </c>
      <c r="B727" s="9" t="s">
        <v>2343</v>
      </c>
      <c r="C727" s="9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9" t="s">
        <v>2350</v>
      </c>
    </row>
    <row r="730">
      <c r="A730" s="14" t="s">
        <v>2351</v>
      </c>
      <c r="B730" s="14" t="s">
        <v>2352</v>
      </c>
      <c r="C730" s="14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14" t="s">
        <v>2357</v>
      </c>
      <c r="B732" s="14" t="s">
        <v>2358</v>
      </c>
      <c r="C732" s="14" t="s">
        <v>2359</v>
      </c>
    </row>
    <row r="733">
      <c r="A733" s="14" t="s">
        <v>2360</v>
      </c>
      <c r="B733" s="14" t="s">
        <v>2361</v>
      </c>
      <c r="C733" s="14" t="s">
        <v>2362</v>
      </c>
    </row>
    <row r="734">
      <c r="A734" s="9" t="s">
        <v>2363</v>
      </c>
      <c r="B734" s="9" t="s">
        <v>2364</v>
      </c>
      <c r="C734" s="14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14" t="s">
        <v>2369</v>
      </c>
      <c r="B736" s="14" t="s">
        <v>2370</v>
      </c>
      <c r="C736" s="14" t="s">
        <v>2371</v>
      </c>
    </row>
    <row r="737">
      <c r="A737" s="14" t="s">
        <v>2372</v>
      </c>
      <c r="B737" s="14" t="s">
        <v>2373</v>
      </c>
      <c r="C737" s="9" t="s">
        <v>2374</v>
      </c>
    </row>
    <row r="738">
      <c r="A738" s="14" t="s">
        <v>2375</v>
      </c>
      <c r="B738" s="14" t="s">
        <v>2376</v>
      </c>
      <c r="C738" s="9" t="s">
        <v>2377</v>
      </c>
    </row>
    <row r="739">
      <c r="A739" s="14" t="s">
        <v>2378</v>
      </c>
      <c r="B739" s="14" t="s">
        <v>2379</v>
      </c>
      <c r="C739" s="14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14" t="s">
        <v>2385</v>
      </c>
      <c r="C741" s="9" t="s">
        <v>2386</v>
      </c>
    </row>
    <row r="742">
      <c r="A742" s="9" t="s">
        <v>2387</v>
      </c>
      <c r="B742" s="9" t="s">
        <v>2388</v>
      </c>
      <c r="C742" s="9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9" t="s">
        <v>2393</v>
      </c>
      <c r="B744" s="9" t="s">
        <v>2394</v>
      </c>
      <c r="C744" s="9" t="s">
        <v>2395</v>
      </c>
    </row>
    <row r="745">
      <c r="A745" s="9" t="s">
        <v>2396</v>
      </c>
      <c r="B745" s="9" t="s">
        <v>2397</v>
      </c>
      <c r="C745" s="14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9" t="s">
        <v>2405</v>
      </c>
      <c r="B748" s="9" t="s">
        <v>2406</v>
      </c>
      <c r="C748" s="9" t="s">
        <v>2407</v>
      </c>
    </row>
    <row r="749">
      <c r="A749" s="14" t="s">
        <v>2408</v>
      </c>
      <c r="B749" s="14" t="s">
        <v>2409</v>
      </c>
      <c r="C749" s="14" t="s">
        <v>2410</v>
      </c>
    </row>
    <row r="750">
      <c r="A750" s="9" t="s">
        <v>2411</v>
      </c>
      <c r="B750" s="9" t="s">
        <v>2412</v>
      </c>
      <c r="C750" s="14" t="s">
        <v>2413</v>
      </c>
    </row>
    <row r="751">
      <c r="A751" s="14" t="s">
        <v>2414</v>
      </c>
      <c r="B751" s="14" t="s">
        <v>2415</v>
      </c>
      <c r="C751" s="9" t="s">
        <v>2416</v>
      </c>
    </row>
    <row r="752">
      <c r="A752" s="9" t="s">
        <v>2417</v>
      </c>
      <c r="B752" s="9" t="s">
        <v>2277</v>
      </c>
      <c r="C752" s="9" t="s">
        <v>2418</v>
      </c>
    </row>
    <row r="753">
      <c r="A753" s="9" t="s">
        <v>2419</v>
      </c>
      <c r="B753" s="9" t="s">
        <v>2420</v>
      </c>
      <c r="C753" s="9" t="s">
        <v>2421</v>
      </c>
    </row>
    <row r="754">
      <c r="A754" s="9" t="s">
        <v>2422</v>
      </c>
      <c r="B754" s="9" t="s">
        <v>2423</v>
      </c>
      <c r="C754" s="9" t="s">
        <v>2424</v>
      </c>
    </row>
    <row r="755">
      <c r="A755" s="9" t="s">
        <v>2425</v>
      </c>
      <c r="B755" s="9" t="s">
        <v>2426</v>
      </c>
      <c r="C755" s="9" t="s">
        <v>2427</v>
      </c>
    </row>
    <row r="756">
      <c r="A756" s="9" t="s">
        <v>2428</v>
      </c>
      <c r="B756" s="9" t="s">
        <v>2429</v>
      </c>
      <c r="C756" s="14" t="s">
        <v>2430</v>
      </c>
    </row>
    <row r="757">
      <c r="A757" s="14" t="s">
        <v>2431</v>
      </c>
      <c r="B757" s="14" t="s">
        <v>2432</v>
      </c>
      <c r="C757" s="14" t="s">
        <v>2433</v>
      </c>
    </row>
    <row r="758">
      <c r="A758" s="14" t="s">
        <v>2434</v>
      </c>
      <c r="B758" s="9" t="s">
        <v>2435</v>
      </c>
      <c r="C758" s="9" t="s">
        <v>2436</v>
      </c>
    </row>
    <row r="759">
      <c r="A759" s="14" t="s">
        <v>2437</v>
      </c>
      <c r="B759" s="14" t="s">
        <v>2438</v>
      </c>
      <c r="C759" s="9" t="s">
        <v>2439</v>
      </c>
    </row>
    <row r="760">
      <c r="A760" s="9" t="s">
        <v>2440</v>
      </c>
      <c r="B760" s="9" t="s">
        <v>2441</v>
      </c>
      <c r="C760" s="9" t="s">
        <v>2442</v>
      </c>
    </row>
    <row r="761">
      <c r="A761" s="9" t="s">
        <v>2443</v>
      </c>
      <c r="B761" s="9" t="s">
        <v>2444</v>
      </c>
      <c r="C761" s="14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14" t="s">
        <v>2449</v>
      </c>
      <c r="B763" s="14" t="s">
        <v>2450</v>
      </c>
      <c r="C763" s="14" t="s">
        <v>2451</v>
      </c>
    </row>
    <row r="764">
      <c r="A764" s="9" t="s">
        <v>2452</v>
      </c>
      <c r="B764" s="9" t="s">
        <v>2453</v>
      </c>
      <c r="C764" s="9" t="s">
        <v>2454</v>
      </c>
    </row>
    <row r="765">
      <c r="A765" s="9" t="s">
        <v>2455</v>
      </c>
      <c r="B765" s="9" t="s">
        <v>2456</v>
      </c>
      <c r="C765" s="9" t="s">
        <v>2457</v>
      </c>
    </row>
    <row r="766">
      <c r="A766" s="14" t="s">
        <v>2458</v>
      </c>
      <c r="B766" s="14" t="s">
        <v>2459</v>
      </c>
      <c r="C766" s="9" t="s">
        <v>2460</v>
      </c>
    </row>
    <row r="767">
      <c r="A767" s="9" t="s">
        <v>2461</v>
      </c>
      <c r="B767" s="9" t="s">
        <v>2462</v>
      </c>
      <c r="C767" s="9" t="s">
        <v>2463</v>
      </c>
    </row>
    <row r="768">
      <c r="A768" s="9" t="s">
        <v>2464</v>
      </c>
      <c r="B768" s="9" t="s">
        <v>2465</v>
      </c>
      <c r="C768" s="9" t="s">
        <v>2466</v>
      </c>
    </row>
    <row r="769">
      <c r="A769" s="9" t="s">
        <v>2467</v>
      </c>
      <c r="B769" s="9" t="s">
        <v>2468</v>
      </c>
      <c r="C769" s="9" t="s">
        <v>2469</v>
      </c>
    </row>
    <row r="770">
      <c r="A770" s="14" t="s">
        <v>2470</v>
      </c>
      <c r="B770" s="14" t="s">
        <v>2471</v>
      </c>
      <c r="C770" s="14" t="s">
        <v>2472</v>
      </c>
    </row>
    <row r="771">
      <c r="A771" s="9" t="s">
        <v>2473</v>
      </c>
      <c r="B771" s="9" t="s">
        <v>2474</v>
      </c>
      <c r="C771" s="9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A773" s="9" t="s">
        <v>2479</v>
      </c>
      <c r="B773" s="9" t="s">
        <v>2480</v>
      </c>
      <c r="C773" s="14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A775" s="9" t="s">
        <v>2485</v>
      </c>
      <c r="B775" s="9" t="s">
        <v>2486</v>
      </c>
      <c r="C775" s="14" t="s">
        <v>2487</v>
      </c>
    </row>
    <row r="776">
      <c r="A776" s="14" t="s">
        <v>2488</v>
      </c>
      <c r="B776" s="14" t="s">
        <v>2489</v>
      </c>
      <c r="C776" s="9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9" t="s">
        <v>2494</v>
      </c>
      <c r="B778" s="9" t="s">
        <v>2495</v>
      </c>
      <c r="C778" s="9" t="s">
        <v>2496</v>
      </c>
    </row>
    <row r="779">
      <c r="A779" s="14" t="s">
        <v>2497</v>
      </c>
      <c r="B779" s="14" t="s">
        <v>2498</v>
      </c>
      <c r="C779" s="14" t="s">
        <v>2499</v>
      </c>
    </row>
    <row r="780">
      <c r="A780" s="14" t="s">
        <v>2500</v>
      </c>
      <c r="B780" s="14" t="s">
        <v>2501</v>
      </c>
      <c r="C780" s="14" t="s">
        <v>2502</v>
      </c>
    </row>
    <row r="781">
      <c r="A781" s="14" t="s">
        <v>2503</v>
      </c>
      <c r="B781" s="14" t="s">
        <v>2504</v>
      </c>
      <c r="C781" s="14" t="s">
        <v>2505</v>
      </c>
    </row>
    <row r="782">
      <c r="A782" s="14" t="s">
        <v>2506</v>
      </c>
      <c r="B782" s="14" t="s">
        <v>2507</v>
      </c>
      <c r="C782" s="14" t="s">
        <v>2508</v>
      </c>
    </row>
    <row r="783">
      <c r="A783" s="14" t="s">
        <v>2509</v>
      </c>
      <c r="B783" s="14" t="s">
        <v>2510</v>
      </c>
      <c r="C783" s="14" t="s">
        <v>2511</v>
      </c>
    </row>
    <row r="784">
      <c r="A784" s="14" t="s">
        <v>2512</v>
      </c>
      <c r="B784" s="14" t="s">
        <v>2513</v>
      </c>
      <c r="C784" s="9" t="s">
        <v>2514</v>
      </c>
    </row>
    <row r="785">
      <c r="A785" s="14" t="s">
        <v>2515</v>
      </c>
      <c r="B785" s="9" t="s">
        <v>2516</v>
      </c>
      <c r="C785" s="9" t="s">
        <v>2517</v>
      </c>
    </row>
    <row r="786">
      <c r="A786" s="14" t="s">
        <v>2518</v>
      </c>
      <c r="B786" s="14" t="s">
        <v>2519</v>
      </c>
      <c r="C786" s="9" t="s">
        <v>2520</v>
      </c>
    </row>
    <row r="787">
      <c r="A787" s="9" t="s">
        <v>2521</v>
      </c>
      <c r="B787" s="9" t="s">
        <v>2522</v>
      </c>
      <c r="C787" s="14" t="s">
        <v>2523</v>
      </c>
    </row>
    <row r="788">
      <c r="A788" s="9" t="s">
        <v>2524</v>
      </c>
      <c r="B788" s="9" t="s">
        <v>2525</v>
      </c>
      <c r="C788" s="9" t="s">
        <v>2526</v>
      </c>
    </row>
    <row r="789">
      <c r="A789" s="14" t="s">
        <v>2527</v>
      </c>
      <c r="B789" s="14" t="s">
        <v>2528</v>
      </c>
      <c r="C789" s="14" t="s">
        <v>2529</v>
      </c>
    </row>
    <row r="790">
      <c r="A790" s="9" t="s">
        <v>2530</v>
      </c>
      <c r="B790" s="9" t="s">
        <v>2531</v>
      </c>
      <c r="C790" s="14" t="s">
        <v>2532</v>
      </c>
    </row>
    <row r="791">
      <c r="A791" s="14" t="s">
        <v>2533</v>
      </c>
      <c r="B791" s="14" t="s">
        <v>2534</v>
      </c>
      <c r="C791" s="9" t="s">
        <v>2535</v>
      </c>
    </row>
    <row r="792">
      <c r="A792" s="14" t="s">
        <v>2536</v>
      </c>
      <c r="B792" s="14" t="s">
        <v>2537</v>
      </c>
      <c r="C792" s="14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14" t="s">
        <v>2542</v>
      </c>
      <c r="B794" s="14" t="s">
        <v>2543</v>
      </c>
      <c r="C794" s="9" t="s">
        <v>2544</v>
      </c>
    </row>
    <row r="795">
      <c r="A795" s="9" t="s">
        <v>2545</v>
      </c>
      <c r="B795" s="9" t="s">
        <v>2546</v>
      </c>
      <c r="C795" s="9" t="s">
        <v>2547</v>
      </c>
    </row>
    <row r="796">
      <c r="A796" s="9" t="s">
        <v>2548</v>
      </c>
      <c r="B796" s="9" t="s">
        <v>2549</v>
      </c>
      <c r="C796" s="9" t="s">
        <v>2550</v>
      </c>
    </row>
    <row r="797">
      <c r="A797" s="9" t="s">
        <v>2551</v>
      </c>
      <c r="B797" s="9" t="s">
        <v>2552</v>
      </c>
      <c r="C797" s="14" t="s">
        <v>2553</v>
      </c>
    </row>
    <row r="798">
      <c r="A798" s="9" t="s">
        <v>2554</v>
      </c>
      <c r="B798" s="9" t="s">
        <v>2555</v>
      </c>
      <c r="C798" s="9" t="s">
        <v>2556</v>
      </c>
    </row>
    <row r="799">
      <c r="A799" s="9" t="s">
        <v>2557</v>
      </c>
      <c r="B799" s="9" t="s">
        <v>2558</v>
      </c>
      <c r="C799" s="9" t="s">
        <v>2559</v>
      </c>
    </row>
    <row r="800">
      <c r="A800" s="9" t="s">
        <v>2560</v>
      </c>
      <c r="B800" s="9" t="s">
        <v>2561</v>
      </c>
      <c r="C800" s="14" t="s">
        <v>2562</v>
      </c>
    </row>
    <row r="801">
      <c r="A801" s="14" t="s">
        <v>2563</v>
      </c>
      <c r="B801" s="14" t="s">
        <v>2564</v>
      </c>
      <c r="C801" s="14" t="s">
        <v>2565</v>
      </c>
    </row>
    <row r="802">
      <c r="A802" s="14" t="s">
        <v>2566</v>
      </c>
      <c r="B802" s="14" t="s">
        <v>832</v>
      </c>
      <c r="C802" s="9" t="s">
        <v>2567</v>
      </c>
    </row>
    <row r="803">
      <c r="A803" s="14" t="s">
        <v>2568</v>
      </c>
      <c r="B803" s="14" t="s">
        <v>2569</v>
      </c>
      <c r="C803" s="9" t="s">
        <v>2570</v>
      </c>
    </row>
    <row r="804">
      <c r="A804" s="9" t="s">
        <v>2571</v>
      </c>
      <c r="B804" s="9" t="s">
        <v>2572</v>
      </c>
      <c r="C804" s="14" t="s">
        <v>2573</v>
      </c>
    </row>
    <row r="805">
      <c r="A805" s="9" t="s">
        <v>2574</v>
      </c>
      <c r="B805" s="9" t="s">
        <v>2575</v>
      </c>
      <c r="C805" s="9" t="s">
        <v>2576</v>
      </c>
    </row>
    <row r="806">
      <c r="A806" s="9" t="s">
        <v>2577</v>
      </c>
      <c r="B806" s="9" t="s">
        <v>2578</v>
      </c>
      <c r="C806" s="14" t="s">
        <v>2579</v>
      </c>
    </row>
    <row r="807">
      <c r="A807" s="9" t="s">
        <v>2580</v>
      </c>
      <c r="B807" s="9" t="s">
        <v>2581</v>
      </c>
      <c r="C807" s="9" t="s">
        <v>2582</v>
      </c>
    </row>
    <row r="808">
      <c r="A808" s="14" t="s">
        <v>2583</v>
      </c>
      <c r="B808" s="14" t="s">
        <v>2584</v>
      </c>
      <c r="C808" s="14" t="s">
        <v>2585</v>
      </c>
    </row>
    <row r="809">
      <c r="A809" s="14" t="s">
        <v>2586</v>
      </c>
      <c r="B809" s="14" t="s">
        <v>2587</v>
      </c>
      <c r="C809" s="14" t="s">
        <v>2588</v>
      </c>
    </row>
    <row r="810">
      <c r="A810" s="14" t="s">
        <v>2589</v>
      </c>
      <c r="B810" s="14" t="s">
        <v>2590</v>
      </c>
      <c r="C810" s="14" t="s">
        <v>2591</v>
      </c>
    </row>
    <row r="811">
      <c r="A811" s="14" t="s">
        <v>2592</v>
      </c>
      <c r="B811" s="14" t="s">
        <v>2593</v>
      </c>
      <c r="C811" s="14" t="s">
        <v>2594</v>
      </c>
    </row>
    <row r="812">
      <c r="A812" s="14" t="s">
        <v>2595</v>
      </c>
      <c r="B812" s="14" t="s">
        <v>2596</v>
      </c>
      <c r="C812" s="14" t="s">
        <v>2597</v>
      </c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12">
    <sortState ref="A1:C812">
      <sortCondition ref="A1:A812"/>
      <sortCondition ref="B1:B812"/>
    </sortState>
  </autoFilter>
  <drawing r:id="rId1"/>
</worksheet>
</file>