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<sst xmlns="http://schemas.openxmlformats.org/spreadsheetml/2006/main" count="3076" uniqueCount="3047">
  <si>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</si>
  <si>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</si>
  <si>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</si>
  <si>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</si>
  <si>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</si>
  <si>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</si>
  <si>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</si>
  <si>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</si>
  <si>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</si>
  <si>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</si>
  <si>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</si>
  <si>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</si>
  <si>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</si>
  <si>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</si>
  <si>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</si>
  <si>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</si>
  <si>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</si>
  <si>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</si>
  <si>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</si>
  <si>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</si>
  <si>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arm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</si>
  <si>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</si>
  <si>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</si>
  <si>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</si>
  <si>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</si>
  <si>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</si>
  <si>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</si>
  <si>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</si>
  <si>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</si>
  <si>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</si>
  <si>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</si>
  <si>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</si>
  <si>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</si>
  <si>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</si>
  <si>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</si>
  <si>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</si>
  <si>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</si>
  <si>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</si>
  <si>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</si>
  <si>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</si>
  <si>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</si>
  <si>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</si>
  <si>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</si>
  <si>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</si>
  <si>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</si>
  <si>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</si>
  <si>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</si>
  <si>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</si>
  <si>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</si>
  <si>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</si>
  <si>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</si>
  <si>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</si>
  <si>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</si>
  <si>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</si>
  <si>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</si>
  <si>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</si>
  <si>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</si>
  <si>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</si>
  <si>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</si>
  <si>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</si>
  <si>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</si>
  <si>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</si>
  <si>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</si>
  <si>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</si>
  <si>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</si>
  <si>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</si>
  <si>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</si>
  <si>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</si>
  <si>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</si>
  <si>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</si>
  <si>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</si>
  <si>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</si>
  <si>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</si>
  <si>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</si>
  <si>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</si>
  <si>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</si>
  <si>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</si>
  <si>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</si>
  <si>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</si>
  <si>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</si>
  <si>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</si>
  <si>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</si>
  <si>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</si>
  <si>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</si>
  <si>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</si>
  <si>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</si>
  <si>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</si>
  <si>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</si>
  <si>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</si>
  <si>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</si>
  <si>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</si>
  <si>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</si>
  <si>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</si>
  <si>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</si>
  <si>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</si>
  <si>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</si>
  <si>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</si>
  <si>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</si>
  <si>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</si>
  <si>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</si>
  <si>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</si>
  <si>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</si>
  <si>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</si>
  <si>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</si>
  <si>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</si>
  <si>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</si>
  <si>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</si>
  <si>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</si>
  <si>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</si>
  <si>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</si>
  <si>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</si>
  <si>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</si>
  <si>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</si>
  <si>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</si>
  <si>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</si>
  <si>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</si>
  <si>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</si>
  <si>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</si>
  <si>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</si>
  <si>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</si>
  <si>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</si>
  <si>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</si>
  <si>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</si>
  <si>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</si>
  <si>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</si>
  <si>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</si>
  <si>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</si>
  <si>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</si>
  <si>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</si>
  <si>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</si>
  <si>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</si>
  <si>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</si>
  <si>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</si>
  <si>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</si>
  <si>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</si>
  <si>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</si>
  <si>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</si>
  <si>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</si>
  <si>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</si>
  <si>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</si>
  <si>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</si>
  <si>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</si>
  <si>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</si>
  <si>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</si>
  <si>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</si>
  <si>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</si>
  <si>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</si>
  <si>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</si>
  <si>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</si>
  <si>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</si>
  <si>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</si>
  <si>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</si>
  <si>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</si>
  <si>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</si>
  <si>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</si>
  <si>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</si>
  <si>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</si>
  <si>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</si>
  <si>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</si>
  <si>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</si>
  <si>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</si>
  <si>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</si>
  <si>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</si>
  <si>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</si>
  <si>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</si>
  <si>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</si>
  <si>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</si>
  <si>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</si>
  <si>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</si>
  <si>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</si>
  <si>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</si>
  <si>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</si>
  <si>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</si>
  <si>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</si>
  <si>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</si>
  <si>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</si>
  <si>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</si>
  <si>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</si>
  <si>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</si>
  <si>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</si>
  <si>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</si>
  <si>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</si>
  <si>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</si>
  <si>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</si>
  <si>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</si>
  <si>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</si>
  <si>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</si>
  <si>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</si>
  <si>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</si>
  <si>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</si>
  <si>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</si>
  <si>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</si>
  <si>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</si>
  <si>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</si>
  <si>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</si>
  <si>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</si>
  <si>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</si>
  <si>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</si>
  <si>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</si>
  <si>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</si>
  <si>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</si>
  <si>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</si>
  <si>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</si>
  <si>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</si>
  <si>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</si>
  <si>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</si>
  <si>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</si>
  <si>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</si>
  <si>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</si>
  <si>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</si>
  <si>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</si>
  <si>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</si>
  <si>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</si>
  <si>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</si>
  <si>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</si>
  <si>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</si>
  <si>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</si>
  <si>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</si>
  <si>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</si>
  <si>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</si>
  <si>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</si>
  <si>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</si>
  <si>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</si>
  <si>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</si>
  <si>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</si>
  <si>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</si>
  <si>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</si>
  <si>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</si>
  <si>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</si>
  <si>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</si>
  <si>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</si>
  <si>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</si>
  <si>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</si>
  <si>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</si>
  <si>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</si>
  <si>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</si>
  <si>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</si>
  <si>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</si>
  <si>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</si>
  <si>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blyiva</t>
  </si>
  <si>
    <t>hot (adjective)</t>
  </si>
  <si>
    <t>блїва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</si>
  <si>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</si>
  <si>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</si>
  <si>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</si>
  <si>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</si>
  <si>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</si>
  <si>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</si>
  <si>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</si>
  <si>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</si>
  <si>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</si>
  <si>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</si>
  <si>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</si>
  <si>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</si>
  <si>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</si>
  <si>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</si>
  <si>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</si>
  <si>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</si>
  <si>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</si>
  <si>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</si>
  <si>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</si>
  <si>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</si>
  <si>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</si>
  <si>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</si>
  <si>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</si>
  <si>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</si>
  <si>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</si>
  <si>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</si>
  <si>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</si>
  <si>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</si>
  <si>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</si>
  <si>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</si>
  <si>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</si>
  <si>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</si>
  <si>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</si>
  <si>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</si>
  <si>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</si>
  <si>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</si>
  <si>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</si>
  <si>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</si>
  <si>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</si>
  <si>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</si>
  <si>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</si>
  <si>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</si>
  <si>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</si>
  <si>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</si>
  <si>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</si>
  <si>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</si>
  <si>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</si>
  <si>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</si>
  <si>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</si>
  <si>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</si>
  <si>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</si>
  <si>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</si>
  <si>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</si>
  <si>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</si>
  <si>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</si>
  <si>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</si>
  <si>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</si>
  <si>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</si>
  <si>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</si>
  <si>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</si>
  <si>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</si>
  <si>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</si>
  <si>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</si>
  <si>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</si>
  <si>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</si>
  <si>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</si>
  <si>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</si>
  <si>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</si>
  <si>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</si>
  <si>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</si>
  <si>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</si>
  <si>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</si>
  <si>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</si>
  <si>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</si>
  <si>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</si>
  <si>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</si>
  <si>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</si>
  <si>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</si>
  <si>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</si>
  <si>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</si>
  <si>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</si>
  <si>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</si>
  <si>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</si>
  <si>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</si>
  <si>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</si>
  <si>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</si>
  <si>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</si>
  <si>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</si>
  <si>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</si>
  <si>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</si>
  <si>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</si>
  <si>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</si>
  <si>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</si>
  <si>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</si>
  <si>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</si>
  <si>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</si>
  <si>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</si>
  <si>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</si>
  <si>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</si>
  <si>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</si>
  <si>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</si>
  <si>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</si>
  <si>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</si>
  <si>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</si>
  <si>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</si>
  <si>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</si>
  <si>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</si>
  <si>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</si>
  <si>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</si>
  <si>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</si>
  <si>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</si>
  <si>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</si>
  <si>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</si>
  <si>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</si>
  <si>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</si>
  <si>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</si>
  <si>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</si>
  <si>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</si>
  <si>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</si>
  <si>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</si>
  <si>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</si>
  <si>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</si>
  <si>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</si>
  <si>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</si>
  <si>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</si>
  <si>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</si>
  <si>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</si>
  <si>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</si>
  <si>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</si>
  <si>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</si>
  <si>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</si>
  <si>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</si>
  <si>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</si>
  <si>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</si>
  <si>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</si>
  <si>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</si>
  <si>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</si>
  <si>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</si>
  <si>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</si>
  <si>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</si>
  <si>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</si>
  <si>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</si>
  <si>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</si>
  <si>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broylev-seyrin</t>
  </si>
  <si>
    <t>destroyer</t>
  </si>
  <si>
    <t>броилєв-сєирін</t>
  </si>
  <si>
    <t>YE</t>
  </si>
  <si>
    <t>Ее</t>
  </si>
  <si>
    <t>yev, ев</t>
  </si>
  <si>
    <t>būkat</t>
  </si>
  <si>
    <t>to make</t>
  </si>
  <si>
    <t>букат</t>
  </si>
  <si>
    <t>YO</t>
  </si>
  <si>
    <t>Ёё</t>
  </si>
  <si>
    <t>byortolm, бётоум</t>
  </si>
  <si>
    <t>byejat</t>
  </si>
  <si>
    <t>to run, to sprint</t>
  </si>
  <si>
    <t>бйєжат</t>
  </si>
  <si>
    <t>YU</t>
  </si>
  <si>
    <t>Юю</t>
  </si>
  <si>
    <t>myutor, мютор</t>
  </si>
  <si>
    <t>byolm</t>
  </si>
  <si>
    <t>bottle, jar</t>
  </si>
  <si>
    <t>бйолм</t>
  </si>
  <si>
    <t>Z</t>
  </si>
  <si>
    <t>Зз</t>
  </si>
  <si>
    <t>zikofal, зикофао</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</si>
  <si>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</si>
  <si>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</si>
  <si>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</si>
  <si>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</si>
  <si>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</si>
  <si>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</si>
  <si>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</si>
  <si>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</si>
  <si>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</si>
  <si>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</si>
  <si>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</si>
  <si>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</si>
  <si>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</si>
  <si>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</si>
  <si>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</si>
  <si>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</si>
  <si>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</si>
  <si>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</si>
  <si>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</si>
  <si>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</si>
  <si>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</si>
  <si>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</si>
  <si>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</si>
  <si>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</si>
  <si>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</si>
  <si>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</si>
  <si>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</si>
  <si>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</si>
  <si>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</si>
  <si>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</si>
  <si>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</si>
  <si>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</si>
  <si>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</si>
  <si>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</si>
  <si>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</si>
  <si>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</si>
  <si>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</si>
  <si>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</si>
  <si>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</si>
  <si>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</si>
  <si>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</si>
  <si>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</si>
  <si>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</si>
  <si>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</si>
  <si>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</si>
  <si>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</si>
  <si>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</si>
  <si>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</si>
  <si>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</si>
  <si>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</si>
  <si>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</si>
  <si>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</si>
  <si>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</si>
  <si>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</si>
  <si>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</si>
  <si>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</si>
  <si>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</si>
  <si>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</si>
  <si>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</si>
  <si>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</si>
  <si>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</si>
  <si>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</si>
  <si>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</si>
  <si>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</si>
  <si>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</si>
  <si>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</si>
  <si>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</si>
  <si>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</si>
  <si>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</si>
  <si>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</si>
  <si>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</si>
  <si>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</si>
  <si>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</si>
  <si>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</si>
  <si>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</si>
  <si>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</si>
  <si>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</si>
  <si>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</si>
  <si>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</si>
  <si>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</si>
  <si>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</si>
  <si>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</si>
  <si>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</si>
  <si>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</si>
  <si>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</si>
  <si>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</si>
  <si>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</si>
  <si>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</si>
  <si>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</si>
  <si>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</si>
  <si>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</si>
  <si>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</si>
  <si>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</si>
  <si>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</si>
  <si>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</si>
  <si>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</si>
  <si>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</si>
  <si>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</si>
  <si>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</si>
  <si>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</si>
  <si>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</si>
  <si>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</si>
  <si>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</si>
  <si>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</si>
  <si>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</si>
  <si>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</si>
  <si>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</si>
  <si>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</si>
  <si>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</si>
  <si>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</si>
  <si>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</si>
  <si>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</si>
  <si>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</si>
  <si>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</si>
  <si>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</si>
  <si>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</si>
  <si>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</si>
  <si>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</si>
  <si>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</si>
  <si>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</si>
  <si>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</si>
  <si>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</si>
  <si>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</si>
  <si>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</si>
  <si>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</si>
  <si>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</si>
  <si>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</si>
  <si>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</si>
  <si>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</si>
  <si>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</si>
  <si>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</si>
  <si>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</si>
  <si>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</si>
  <si>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</si>
  <si>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</si>
  <si>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</si>
  <si>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</si>
  <si>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</si>
  <si>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</si>
  <si>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</si>
  <si>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</si>
  <si>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</si>
  <si>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</si>
  <si>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</si>
  <si>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</si>
  <si>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</si>
  <si>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</si>
  <si>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</si>
  <si>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</si>
  <si>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</si>
  <si>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</si>
  <si>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</si>
  <si>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</si>
  <si>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</si>
  <si>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</si>
  <si>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</si>
  <si>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</si>
  <si>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</si>
  <si>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</si>
  <si>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</si>
  <si>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</si>
  <si>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</si>
  <si>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</si>
  <si>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</si>
  <si>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</si>
  <si>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</si>
  <si>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</si>
  <si>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</si>
  <si>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</si>
  <si>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</si>
  <si>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</si>
  <si>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</si>
  <si>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</si>
  <si>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</si>
  <si>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</si>
  <si>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</si>
  <si>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</si>
  <si>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</si>
  <si>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</si>
  <si>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</si>
  <si>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</si>
  <si>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</si>
  <si>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</si>
  <si>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</si>
  <si>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</si>
  <si>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</si>
  <si>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</si>
  <si>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</si>
  <si>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</si>
  <si>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</si>
  <si>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</si>
  <si>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</si>
  <si>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</si>
  <si>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</si>
  <si>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</si>
  <si>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</si>
  <si>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</si>
  <si>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</si>
  <si>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</si>
  <si>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</si>
  <si>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</si>
  <si>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</si>
  <si>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</si>
  <si>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</si>
  <si>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</si>
  <si>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</si>
  <si>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</si>
  <si>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</si>
  <si>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</si>
  <si>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</si>
  <si>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</si>
  <si>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</si>
  <si>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</si>
  <si>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</si>
  <si>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</si>
  <si>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</si>
  <si>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</si>
  <si>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</si>
  <si>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</si>
  <si>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</si>
  <si>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</si>
  <si>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</si>
  <si>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</si>
  <si>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</si>
  <si>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</si>
  <si>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</si>
  <si>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</si>
  <si>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</si>
  <si>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</si>
  <si>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</si>
  <si>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</si>
  <si>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</si>
  <si>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</si>
  <si>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</si>
  <si>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</si>
  <si>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</si>
  <si>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</si>
  <si>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</si>
  <si>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</si>
  <si>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</si>
  <si>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</si>
  <si>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</si>
  <si>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</si>
  <si>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</si>
  <si>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</si>
  <si>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</si>
  <si>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</si>
  <si>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</si>
  <si>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</si>
  <si>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</si>
  <si>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</si>
  <si>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</si>
  <si>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</si>
  <si>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</si>
  <si>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</si>
  <si>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</si>
  <si>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</si>
  <si>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</si>
  <si>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</si>
  <si>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</si>
  <si>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</si>
  <si>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</si>
  <si>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</si>
  <si>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</si>
  <si>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</si>
  <si>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</si>
  <si>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</si>
  <si>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</si>
  <si>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</si>
  <si>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</si>
  <si>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</si>
  <si>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</si>
  <si>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</si>
  <si>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</si>
  <si>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</si>
  <si>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</si>
  <si>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</si>
  <si>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</si>
  <si>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</si>
  <si>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</si>
  <si>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</si>
  <si>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</si>
  <si>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</si>
  <si>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</si>
  <si>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</si>
  <si>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</si>
  <si>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</si>
  <si>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</si>
  <si>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</si>
  <si>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</si>
  <si>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</si>
  <si>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</si>
  <si>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</si>
  <si>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</si>
  <si>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</si>
  <si>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</si>
  <si>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</si>
  <si>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</si>
  <si>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</si>
  <si>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</si>
  <si>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</si>
  <si>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</si>
  <si>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</si>
  <si>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</si>
  <si>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</si>
  <si>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</si>
  <si>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</si>
  <si>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</si>
  <si>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</si>
  <si>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</si>
  <si>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</si>
  <si>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</si>
  <si>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</si>
  <si>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</si>
  <si>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</si>
  <si>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</si>
  <si>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</si>
  <si>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</si>
  <si>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</si>
  <si>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</si>
  <si>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</si>
  <si>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</si>
  <si>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</si>
  <si>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</si>
  <si>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</si>
  <si>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</si>
  <si>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</si>
  <si>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</si>
  <si>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</si>
  <si>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</si>
  <si>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</si>
  <si>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</si>
  <si>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</si>
  <si>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</si>
  <si>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</si>
  <si>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</si>
  <si>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</si>
  <si>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</si>
  <si>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</si>
  <si>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</si>
  <si>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</si>
  <si>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</si>
  <si>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</si>
  <si>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</si>
  <si>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</si>
  <si>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</si>
  <si>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</si>
  <si>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</si>
  <si>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</si>
  <si>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</si>
  <si>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</si>
  <si>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</si>
  <si>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</si>
  <si>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</si>
  <si>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</si>
  <si>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</si>
  <si>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</si>
  <si>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</si>
  <si>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</si>
  <si>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</si>
  <si>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</si>
  <si>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</si>
  <si>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</si>
  <si>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</si>
  <si>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</si>
  <si>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</si>
  <si>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</si>
  <si>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</si>
  <si>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</si>
  <si>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</si>
  <si>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</si>
  <si>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</si>
  <si>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</si>
  <si>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</si>
  <si>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</si>
  <si>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</si>
  <si>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</si>
  <si>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</si>
  <si>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</si>
  <si>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</si>
  <si>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</si>
  <si>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</si>
  <si>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</si>
  <si>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</si>
  <si>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</si>
  <si>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</si>
  <si>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</si>
  <si>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</si>
  <si>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</si>
  <si>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</si>
  <si>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</si>
  <si>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</si>
  <si>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</si>
  <si>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</si>
  <si>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</si>
  <si>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</si>
  <si>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</si>
  <si>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</si>
  <si>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</si>
  <si>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</si>
  <si>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</si>
  <si>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</si>
  <si>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</si>
  <si>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</si>
  <si>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</si>
  <si>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</si>
  <si>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</si>
  <si>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</si>
  <si>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</si>
  <si>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</si>
  <si>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</si>
  <si>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</si>
  <si>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</si>
  <si>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</si>
  <si>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</si>
  <si>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</si>
  <si>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</si>
  <si>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</si>
  <si>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</si>
  <si>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</si>
  <si>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</si>
  <si>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</si>
  <si>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</si>
  <si>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</si>
  <si>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</si>
  <si>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</si>
  <si>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</si>
  <si>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</si>
  <si>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</si>
  <si>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</si>
  <si>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</si>
  <si>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</si>
  <si>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</si>
  <si>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</si>
  <si>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</si>
  <si>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</si>
  <si>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</si>
  <si>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</si>
  <si>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</si>
  <si>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</si>
  <si>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</si>
  <si>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</si>
  <si>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</si>
  <si>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</si>
  <si>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</si>
  <si>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</si>
  <si>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</si>
  <si>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</si>
  <si>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</si>
  <si>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</si>
  <si>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</si>
  <si>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</si>
  <si>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</si>
  <si>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</si>
  <si>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</si>
  <si>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</si>
  <si>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</si>
  <si>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</si>
  <si>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</si>
  <si>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</si>
  <si>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</si>
  <si>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</si>
  <si>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</si>
  <si>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</si>
  <si>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</si>
  <si>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</si>
  <si>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</si>
  <si>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</si>
  <si>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</si>
  <si>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</si>
  <si>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</si>
  <si>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</si>
  <si>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</si>
  <si>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</si>
  <si>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</si>
  <si>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</si>
  <si>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</si>
  <si>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</si>
  <si>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</si>
  <si>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</si>
  <si>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</si>
  <si>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</si>
  <si>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</si>
  <si>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</si>
  <si>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</si>
  <si>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</si>
  <si>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</si>
  <si>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</si>
  <si>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</si>
  <si>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</si>
  <si>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</si>
  <si>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</si>
  <si>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</si>
  <si>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</si>
  <si>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</si>
  <si>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</si>
  <si>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</si>
  <si>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</si>
  <si>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</si>
  <si>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</si>
  <si>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</si>
  <si>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</si>
  <si>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</si>
  <si>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</si>
  <si>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</si>
  <si>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</si>
  <si>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</si>
  <si>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</si>
  <si>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</si>
  <si>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</si>
  <si>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</si>
  <si>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</si>
  <si>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</si>
  <si>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</si>
  <si>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</si>
  <si>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</si>
  <si>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</si>
  <si>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</si>
  <si>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</si>
  <si>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</si>
  <si>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</si>
  <si>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</si>
  <si>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</si>
  <si>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</si>
  <si>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</si>
  <si>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</si>
  <si>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</si>
  <si>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</si>
  <si>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</si>
  <si>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</si>
  <si>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</si>
  <si>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</si>
  <si>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</si>
  <si>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</si>
  <si>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</si>
  <si>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</si>
  <si>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</si>
  <si>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</si>
  <si>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</si>
  <si>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</si>
  <si>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</si>
  <si>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</si>
  <si>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</si>
  <si>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</si>
  <si>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</si>
  <si>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</si>
  <si>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</si>
  <si>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</si>
  <si>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</si>
  <si>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</si>
  <si>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</si>
  <si>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</si>
  <si>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</si>
  <si>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</si>
  <si>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</si>
  <si>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</si>
  <si>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</si>
  <si>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</si>
  <si>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</si>
  <si>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</si>
  <si>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</si>
  <si>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</si>
  <si>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</si>
  <si>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</si>
  <si>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</si>
  <si>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</si>
  <si>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</si>
  <si>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</si>
  <si>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</si>
  <si>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</si>
  <si>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</si>
  <si>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</si>
  <si>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</si>
  <si>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</si>
  <si>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</si>
  <si>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</si>
  <si>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</si>
  <si>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</si>
  <si>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</si>
  <si>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</si>
  <si>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</si>
  <si>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</si>
  <si>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</si>
  <si>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</si>
  <si>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</si>
  <si>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</si>
  <si>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</si>
  <si>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</si>
  <si>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</si>
  <si>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</si>
  <si>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</si>
  <si>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</si>
  <si>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</si>
  <si>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</si>
  <si>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</si>
  <si>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</si>
  <si>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</si>
  <si>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</si>
  <si>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</si>
  <si>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</si>
  <si>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</si>
  <si>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</si>
  <si>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</si>
  <si>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</si>
  <si>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</si>
  <si>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</si>
  <si>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</si>
  <si>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</si>
  <si>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</si>
  <si>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</si>
  <si>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</si>
  <si>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</si>
  <si>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</si>
  <si>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</si>
  <si>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</si>
  <si>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</si>
  <si>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</si>
  <si>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</si>
  <si>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</si>
  <si>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</si>
  <si>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</si>
  <si>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</si>
  <si>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</si>
  <si>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</si>
  <si>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</si>
  <si>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</si>
  <si>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</si>
  <si>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</si>
  <si>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</si>
  <si>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</si>
  <si>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</si>
  <si>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</si>
  <si>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</si>
  <si>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</si>
  <si>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</si>
  <si>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</si>
  <si>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</si>
  <si>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</si>
  <si>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</si>
  <si>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</si>
  <si>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</si>
  <si>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</si>
  <si>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</si>
  <si>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</si>
  <si>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</si>
  <si>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</si>
  <si>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</si>
  <si>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</si>
  <si>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</si>
  <si>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</si>
  <si>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</si>
  <si>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</si>
  <si>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</si>
  <si>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</si>
  <si>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</si>
  <si>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</si>
  <si>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</si>
  <si>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</si>
  <si>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</si>
  <si>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</si>
  <si>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</si>
  <si>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</si>
  <si>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</si>
  <si>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</si>
  <si>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</si>
  <si>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</si>
  <si>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</si>
  <si>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</si>
  <si>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</si>
  <si>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</si>
  <si>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</si>
  <si>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</si>
  <si>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</si>
  <si>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</si>
  <si>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</si>
  <si>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</si>
  <si>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</si>
  <si>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</si>
  <si>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</si>
  <si>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</si>
  <si>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</si>
  <si>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</si>
  <si>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</si>
  <si>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</si>
  <si>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</si>
  <si>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</si>
  <si>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</si>
  <si>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</si>
  <si>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</si>
  <si>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</si>
  <si>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</si>
  <si>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</si>
  <si>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</si>
  <si>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</si>
  <si>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</si>
  <si>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</si>
  <si>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</si>
  <si>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</si>
  <si>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</si>
  <si>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</si>
  <si>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</si>
  <si>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</si>
  <si>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</si>
  <si>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</si>
  <si>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</si>
  <si>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</si>
  <si>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</si>
  <si>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</si>
  <si>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</si>
  <si>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</si>
  <si>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</si>
  <si>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</si>
  <si>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</si>
  <si>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</si>
  <si>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</si>
  <si>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</si>
  <si>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</si>
  <si>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</si>
  <si>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</si>
  <si>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</si>
  <si>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</si>
  <si>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</si>
  <si>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</si>
  <si>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</si>
  <si>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</si>
  <si>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</si>
  <si>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</si>
  <si>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</si>
  <si>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</si>
  <si>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</si>
  <si>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</si>
  <si>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</si>
  <si>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</si>
  <si>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</si>
  <si>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</si>
  <si>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</si>
  <si>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</si>
  <si>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</si>
  <si>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</si>
  <si>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</si>
  <si>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</si>
  <si>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</si>
  <si>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</si>
  <si>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</si>
  <si>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</si>
  <si>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</si>
  <si>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</si>
  <si>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</si>
  <si>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</si>
  <si>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</si>
  <si>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</si>
  <si>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</si>
  <si>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</si>
  <si>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</si>
  <si>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</si>
  <si>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</si>
  <si>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</si>
  <si>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</si>
  <si>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</si>
  <si>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</si>
  <si>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</si>
  <si>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</si>
  <si>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</si>
  <si>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</si>
  <si>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</si>
  <si>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</si>
  <si>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</si>
  <si>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</si>
  <si>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</si>
  <si>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</si>
  <si>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</si>
  <si>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</si>
  <si>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</si>
  <si>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</si>
  <si>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</si>
  <si>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</si>
  <si>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</si>
  <si>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</si>
  <si>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</si>
  <si>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</si>
  <si>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</si>
  <si>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</si>
  <si>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</si>
  <si>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</si>
  <si>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</si>
  <si>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</si>
  <si>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</si>
  <si>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</si>
  <si>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</si>
  <si>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</si>
  <si>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</si>
  <si>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</si>
  <si>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</si>
  <si>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</si>
  <si>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</si>
  <si>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</si>
  <si>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</si>
  <si>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</si>
  <si>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</si>
  <si>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</si>
  <si>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</si>
  <si>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</si>
  <si>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</si>
  <si>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</si>
  <si>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</si>
  <si>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</si>
  <si>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</si>
  <si>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</si>
  <si>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</si>
  <si>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</si>
  <si>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</si>
  <si>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</si>
  <si>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</si>
  <si>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</si>
  <si>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</si>
  <si>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</si>
  <si>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</si>
  <si>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</si>
  <si>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</si>
  <si>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</si>
  <si>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</si>
  <si>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</si>
  <si>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</si>
  <si>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</si>
  <si>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</si>
  <si>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</si>
  <si>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</si>
  <si>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</si>
  <si>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</si>
  <si>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</si>
  <si>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</si>
  <si>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</si>
  <si>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</si>
  <si>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</si>
  <si>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</si>
  <si>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</si>
  <si>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</si>
  <si>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</si>
  <si>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</si>
  <si>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</si>
  <si>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</si>
  <si>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</si>
  <si>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</si>
  <si>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</si>
  <si>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</si>
  <si>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</si>
  <si>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</si>
  <si>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</si>
  <si>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</si>
  <si>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</si>
  <si>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</si>
  <si>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</si>
  <si>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</si>
  <si>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</si>
  <si>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</si>
  <si>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</si>
  <si>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</si>
  <si>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</si>
  <si>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</si>
  <si>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</si>
  <si>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</si>
  <si>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</si>
  <si>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</si>
  <si>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</si>
  <si>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</si>
  <si>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</si>
  <si>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</si>
  <si>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</si>
  <si>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</si>
  <si>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</si>
  <si>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</si>
  <si>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</si>
  <si>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</si>
  <si>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</si>
  <si>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</si>
  <si>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</si>
  <si>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</si>
  <si>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</si>
  <si>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</si>
  <si>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</si>
  <si>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</si>
  <si>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</si>
  <si>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</si>
  <si>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</si>
  <si>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</si>
  <si>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</si>
  <si>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</si>
  <si>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</si>
  <si>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</si>
  <si>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</si>
  <si>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</si>
  <si>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</si>
  <si>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</si>
  <si>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</si>
  <si>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</si>
  <si>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</si>
  <si>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</si>
  <si>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</si>
  <si>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</si>
  <si>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</si>
  <si>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</si>
  <si>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</si>
  <si>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</si>
  <si>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</si>
  <si>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</si>
  <si>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</si>
  <si>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</si>
  <si>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</si>
  <si>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</si>
  <si>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</si>
  <si>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</si>
  <si>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</si>
  <si>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</si>
  <si>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</si>
  <si>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</si>
  <si>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</si>
  <si>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</si>
  <si>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</si>
  <si>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</si>
  <si>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</si>
  <si>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</si>
  <si>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</si>
  <si>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</si>
  <si>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</si>
  <si>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</si>
  <si>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</si>
  <si>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</si>
  <si>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</si>
  <si>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</si>
  <si>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</si>
  <si>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</si>
  <si>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</si>
  <si>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</si>
  <si>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</si>
  <si>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</si>
  <si>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</si>
  <si>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</si>
  <si>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</si>
  <si>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</si>
  <si>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</si>
  <si>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</si>
  <si>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</si>
  <si>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</si>
  <si>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</si>
  <si>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</si>
  <si>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</si>
  <si>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</si>
  <si>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</si>
  <si>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</si>
  <si>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</si>
  <si>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</si>
  <si>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</si>
  <si>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</si>
  <si>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</si>
  <si>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</si>
  <si>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</si>
  <si>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</si>
  <si>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</si>
  <si>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</si>
  <si>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</si>
  <si>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</si>
  <si>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</si>
  <si>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</si>
  <si>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</si>
  <si>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</si>
  <si>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</si>
  <si>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</si>
  <si>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</si>
  <si>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</si>
  <si>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</si>
  <si>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</si>
  <si>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</si>
  <si>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</si>
  <si>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</si>
  <si>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</si>
  <si>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</si>
  <si>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</si>
  <si>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</si>
  <si>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</si>
  <si>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</si>
  <si>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</si>
  <si>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</si>
  <si>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</si>
  <si>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</si>
  <si>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</si>
  <si>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</si>
  <si>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</si>
  <si>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</si>
  <si>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</si>
  <si>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</si>
  <si>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</si>
  <si>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</si>
  <si>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</si>
  <si>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</si>
  <si>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</si>
  <si>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</si>
  <si>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</si>
  <si>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</si>
  <si>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</si>
  <si>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</si>
  <si>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</si>
  <si>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</si>
  <si>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</si>
  <si>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</si>
  <si>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</si>
  <si>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</si>
  <si>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</si>
  <si>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</si>
  <si>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</si>
  <si>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</si>
  <si>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</si>
  <si>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</si>
  <si>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</si>
  <si>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 someone</t>
  </si>
  <si>
    <t>лєцат</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</si>
  <si>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</si>
  <si>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</si>
  <si>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</si>
  <si>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</si>
  <si>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</si>
  <si>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</si>
  <si>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</si>
  <si>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</si>
  <si>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</si>
  <si>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</si>
  <si>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</si>
  <si>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</si>
  <si>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</si>
  <si>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</si>
  <si>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</si>
  <si>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</si>
  <si>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</si>
  <si>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</si>
  <si>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</si>
  <si>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</si>
  <si>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</si>
  <si>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</si>
  <si>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</si>
  <si>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</si>
  <si>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</si>
  <si>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</si>
  <si>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</si>
  <si>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</si>
  <si>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</si>
  <si>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</si>
  <si>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</si>
  <si>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</si>
  <si>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</si>
  <si>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</si>
  <si>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</si>
  <si>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</si>
  <si>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</si>
  <si>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</si>
  <si>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</si>
  <si>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</si>
  <si>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</si>
  <si>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</si>
  <si>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</si>
  <si>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</si>
  <si>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</si>
  <si>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</si>
  <si>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</si>
  <si>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</si>
  <si>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</si>
  <si>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</si>
  <si>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</si>
  <si>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</si>
  <si>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</si>
  <si>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</si>
  <si>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</si>
  <si>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</si>
  <si>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</si>
  <si>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</si>
  <si>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</si>
  <si>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</si>
  <si>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</si>
  <si>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</si>
  <si>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</si>
  <si>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</si>
  <si>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</si>
  <si>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</si>
  <si>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</si>
  <si>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</si>
  <si>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</si>
  <si>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</si>
  <si>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</si>
  <si>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</si>
  <si>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</si>
  <si>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</si>
  <si>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</si>
  <si>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</si>
  <si>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</si>
  <si>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</si>
  <si>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</si>
  <si>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</si>
  <si>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</si>
  <si>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</si>
  <si>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</si>
  <si>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</si>
  <si>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</si>
  <si>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</si>
  <si>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</si>
  <si>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</si>
  <si>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</si>
  <si>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</si>
  <si>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</si>
  <si>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</si>
  <si>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</si>
  <si>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lūsniy</t>
  </si>
  <si>
    <t>sad (adjective)</t>
  </si>
  <si>
    <t>лусни</t>
  </si>
  <si>
    <t>lūsom</t>
  </si>
  <si>
    <t>sorrow</t>
  </si>
  <si>
    <t>лусом</t>
  </si>
  <si>
    <t>lūsomniy</t>
  </si>
  <si>
    <t>sorry</t>
  </si>
  <si>
    <t>лусомни</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</si>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</sst>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TRUE)"),"viltav")</f>
        <v>viltav</v>
      </c>
      <c r="H5" s="10" t="str">
        <f>IFERROR(__xludf.DUMMYFUNCTION("""COMPUTED_VALUE"""),"alarm")</f>
        <v>alarm</v>
      </c>
      <c r="I5" s="8" t="str">
        <f>IFERROR(__xludf.DUMMYFUNCTION("""COMPUTED_VALUE"""),"вілтав")</f>
        <v>вілтав</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IFERROR(__xludf.DUMMYFUNCTION("""COMPUTED_VALUE"""),"hurk")</f>
        <v>hurk</v>
      </c>
      <c r="H6" s="19" t="str">
        <f>IFERROR(__xludf.DUMMYFUNCTION("""COMPUTED_VALUE"""),"arm")</f>
        <v>arm</v>
      </c>
      <c r="I6" s="8" t="str">
        <f>IFERROR(__xludf.DUMMYFUNCTION("""COMPUTED_VALUE"""),"хьрк")</f>
        <v>хьрк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t="str">
        <f>IFERROR(__xludf.DUMMYFUNCTION("""COMPUTED_VALUE"""),"armank")</f>
        <v>armank</v>
      </c>
      <c r="H7" s="19" t="str">
        <f>IFERROR(__xludf.DUMMYFUNCTION("""COMPUTED_VALUE"""),"armanite")</f>
        <v>armanite</v>
      </c>
      <c r="I7" s="8" t="str">
        <f>IFERROR(__xludf.DUMMYFUNCTION("""COMPUTED_VALUE"""),"арманк")</f>
        <v>арманк</v>
      </c>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t="str">
        <f>IFERROR(__xludf.DUMMYFUNCTION("""COMPUTED_VALUE"""),"antul")</f>
        <v>antul</v>
      </c>
      <c r="H8" s="19" t="str">
        <f>IFERROR(__xludf.DUMMYFUNCTION("""COMPUTED_VALUE"""),"armor")</f>
        <v>armor</v>
      </c>
      <c r="I8" s="8" t="str">
        <f>IFERROR(__xludf.DUMMYFUNCTION("""COMPUTED_VALUE"""),"антьл")</f>
        <v>антьл</v>
      </c>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t="str">
        <f>IFERROR(__xludf.DUMMYFUNCTION("""COMPUTED_VALUE"""),"pojamits")</f>
        <v>pojamits</v>
      </c>
      <c r="H9" s="19" t="str">
        <f>IFERROR(__xludf.DUMMYFUNCTION("""COMPUTED_VALUE"""),"chemise, frock, undergarment")</f>
        <v>chemise, frock, undergarment</v>
      </c>
      <c r="I9" s="8" t="str">
        <f>IFERROR(__xludf.DUMMYFUNCTION("""COMPUTED_VALUE"""),"пожаміц")</f>
        <v>пожаміц</v>
      </c>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t="str">
        <f>IFERROR(__xludf.DUMMYFUNCTION("""COMPUTED_VALUE"""),"tivesel")</f>
        <v>tivesel</v>
      </c>
      <c r="H10" s="19" t="str">
        <f>IFERROR(__xludf.DUMMYFUNCTION("""COMPUTED_VALUE"""),"clothing, garment, apparel")</f>
        <v>clothing, garment, apparel</v>
      </c>
      <c r="I10" s="8" t="str">
        <f>IFERROR(__xludf.DUMMYFUNCTION("""COMPUTED_VALUE"""),"тівєсєл")</f>
        <v>тівєсєл</v>
      </c>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t="str">
        <f>IFERROR(__xludf.DUMMYFUNCTION("""COMPUTED_VALUE"""),"voskol")</f>
        <v>voskol</v>
      </c>
      <c r="H11" s="19" t="str">
        <f>IFERROR(__xludf.DUMMYFUNCTION("""COMPUTED_VALUE"""),"military, army")</f>
        <v>military, army</v>
      </c>
      <c r="I11" s="8" t="str">
        <f>IFERROR(__xludf.DUMMYFUNCTION("""COMPUTED_VALUE"""),"воскол")</f>
        <v>воскол</v>
      </c>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t="str">
        <f>IFERROR(__xludf.DUMMYFUNCTION("""COMPUTED_VALUE"""),"vlorniy")</f>
        <v>vlorniy</v>
      </c>
      <c r="H12" s="19" t="str">
        <f>IFERROR(__xludf.DUMMYFUNCTION("""COMPUTED_VALUE"""),"warm (adjective)")</f>
        <v>warm (adjective)</v>
      </c>
      <c r="I12" s="8" t="str">
        <f>IFERROR(__xludf.DUMMYFUNCTION("""COMPUTED_VALUE"""),"влорни")</f>
        <v>влорни</v>
      </c>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6" t="s">
        <v>211</v>
      </c>
      <c r="B38" s="16" t="s">
        <v>212</v>
      </c>
      <c r="C38" s="16"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0" t="s">
        <v>217</v>
      </c>
      <c r="B39" s="10" t="s">
        <v>218</v>
      </c>
      <c r="C39" s="10"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c r="E41" s="10"/>
      <c r="F41" s="19"/>
      <c r="G41" s="19"/>
      <c r="H41" s="19"/>
      <c r="I41" s="10"/>
      <c r="J41" s="14"/>
      <c r="K41" s="23"/>
      <c r="L41" s="23"/>
      <c r="M41" s="23"/>
      <c r="N41" s="23"/>
      <c r="O41" s="23"/>
      <c r="P41" s="23"/>
      <c r="Q41" s="14"/>
      <c r="R41" s="14"/>
      <c r="S41" s="23"/>
      <c r="T41" s="23"/>
      <c r="U41" s="23"/>
      <c r="V41" s="23"/>
      <c r="W41" s="23"/>
      <c r="X41" s="23"/>
    </row>
    <row r="42">
      <c r="A42" s="10" t="s">
        <v>230</v>
      </c>
      <c r="B42" s="10" t="s">
        <v>231</v>
      </c>
      <c r="C42" s="10" t="s">
        <v>232</v>
      </c>
      <c r="D42" s="10"/>
      <c r="E42" s="10"/>
      <c r="F42" s="19"/>
      <c r="G42" s="19"/>
      <c r="H42" s="19"/>
      <c r="I42" s="10"/>
      <c r="J42" s="14"/>
      <c r="K42" s="23"/>
      <c r="L42" s="23"/>
      <c r="M42" s="23"/>
      <c r="N42" s="23"/>
      <c r="O42" s="23"/>
      <c r="P42" s="23"/>
      <c r="Q42" s="14"/>
      <c r="R42" s="14"/>
      <c r="S42" s="23"/>
      <c r="T42" s="23"/>
      <c r="U42" s="23"/>
      <c r="V42" s="23"/>
      <c r="W42" s="23"/>
      <c r="X42" s="23"/>
    </row>
    <row r="43">
      <c r="A43" s="42"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6" t="s">
        <v>245</v>
      </c>
      <c r="B45" s="16" t="s">
        <v>246</v>
      </c>
      <c r="C45" s="16"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0" t="s">
        <v>251</v>
      </c>
      <c r="B46" s="10" t="s">
        <v>252</v>
      </c>
      <c r="C46" s="10"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6" t="s">
        <v>263</v>
      </c>
      <c r="B48" s="16" t="s">
        <v>264</v>
      </c>
      <c r="C48" s="16"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0" t="s">
        <v>281</v>
      </c>
      <c r="B51" s="10" t="s">
        <v>282</v>
      </c>
      <c r="C51" s="10"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6" t="s">
        <v>293</v>
      </c>
      <c r="B53" s="16" t="s">
        <v>294</v>
      </c>
      <c r="C53" s="16"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0" t="s">
        <v>298</v>
      </c>
      <c r="B54" s="10" t="s">
        <v>299</v>
      </c>
      <c r="C54" s="10"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6" t="s">
        <v>304</v>
      </c>
      <c r="B55" s="16" t="s">
        <v>305</v>
      </c>
      <c r="C55" s="16"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0" t="s">
        <v>316</v>
      </c>
      <c r="B57" s="10" t="s">
        <v>317</v>
      </c>
      <c r="C57" s="10"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6" t="s">
        <v>328</v>
      </c>
      <c r="B59" s="16" t="s">
        <v>329</v>
      </c>
      <c r="C59" s="16"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0" t="s">
        <v>334</v>
      </c>
      <c r="B60" s="10" t="s">
        <v>335</v>
      </c>
      <c r="C60" s="10"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6" t="s">
        <v>339</v>
      </c>
      <c r="B61" s="16" t="s">
        <v>340</v>
      </c>
      <c r="C61" s="16"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0" t="s">
        <v>343</v>
      </c>
      <c r="B62" s="10" t="s">
        <v>344</v>
      </c>
      <c r="C62" s="10"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6" t="s">
        <v>348</v>
      </c>
      <c r="B63" s="16" t="s">
        <v>349</v>
      </c>
      <c r="C63" s="16"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0" t="s">
        <v>363</v>
      </c>
      <c r="B66" s="10" t="s">
        <v>364</v>
      </c>
      <c r="C66" s="10"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6" t="s">
        <v>367</v>
      </c>
      <c r="B67" s="16" t="s">
        <v>368</v>
      </c>
      <c r="C67" s="16"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6" t="s">
        <v>403</v>
      </c>
      <c r="B73" s="16" t="s">
        <v>404</v>
      </c>
      <c r="C73" s="16"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0" t="s">
        <v>409</v>
      </c>
      <c r="B74" s="10" t="s">
        <v>410</v>
      </c>
      <c r="C74" s="10" t="s">
        <v>411</v>
      </c>
      <c r="G74" s="19"/>
      <c r="H74" s="19"/>
      <c r="I74" s="10"/>
      <c r="J74" s="14"/>
      <c r="K74" s="23"/>
      <c r="L74" s="23"/>
      <c r="M74" s="23"/>
      <c r="N74" s="23"/>
      <c r="O74" s="23"/>
      <c r="P74" s="23"/>
      <c r="Q74" s="14"/>
      <c r="R74" s="14"/>
      <c r="S74" s="23"/>
      <c r="T74" s="23"/>
      <c r="U74" s="23"/>
      <c r="V74" s="23"/>
      <c r="W74" s="23"/>
      <c r="X74" s="23"/>
    </row>
    <row r="75">
      <c r="A75" s="16" t="s">
        <v>412</v>
      </c>
      <c r="B75" s="16" t="s">
        <v>413</v>
      </c>
      <c r="C75" s="16"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6" t="s">
        <v>421</v>
      </c>
      <c r="B78" s="16" t="s">
        <v>422</v>
      </c>
      <c r="C78" s="16" t="s">
        <v>423</v>
      </c>
      <c r="D78" s="23"/>
      <c r="E78" s="23"/>
      <c r="F78" s="23"/>
      <c r="G78" s="19"/>
      <c r="H78" s="19"/>
      <c r="I78" s="10"/>
      <c r="J78" s="14"/>
      <c r="K78" s="23"/>
      <c r="L78" s="23"/>
      <c r="M78" s="23"/>
      <c r="N78" s="23"/>
      <c r="O78" s="23"/>
      <c r="P78" s="23"/>
      <c r="Q78" s="14"/>
      <c r="R78" s="14"/>
      <c r="S78" s="23"/>
      <c r="T78" s="23"/>
      <c r="U78" s="23"/>
      <c r="V78" s="23"/>
      <c r="W78" s="23"/>
      <c r="X78" s="23"/>
    </row>
    <row r="79">
      <c r="A79" s="10" t="s">
        <v>424</v>
      </c>
      <c r="B79" s="10" t="s">
        <v>425</v>
      </c>
      <c r="C79" s="10"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0" t="s">
        <v>454</v>
      </c>
      <c r="B89" s="10" t="s">
        <v>455</v>
      </c>
      <c r="C89" s="10"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6" t="s">
        <v>463</v>
      </c>
      <c r="B92" s="16" t="s">
        <v>464</v>
      </c>
      <c r="C92" s="16" t="s">
        <v>465</v>
      </c>
      <c r="D92" s="23"/>
      <c r="E92" s="23"/>
      <c r="F92" s="23"/>
      <c r="G92" s="19"/>
      <c r="H92" s="19"/>
      <c r="I92" s="10"/>
      <c r="J92" s="14"/>
      <c r="K92" s="14"/>
      <c r="L92" s="23"/>
      <c r="M92" s="23"/>
      <c r="N92" s="23"/>
      <c r="O92" s="23"/>
      <c r="P92" s="23"/>
      <c r="Q92" s="14"/>
      <c r="R92" s="14"/>
      <c r="S92" s="14"/>
      <c r="T92" s="23"/>
      <c r="U92" s="23"/>
      <c r="V92" s="23"/>
      <c r="W92" s="23"/>
      <c r="X92" s="23"/>
    </row>
    <row r="93">
      <c r="A93" s="16" t="s">
        <v>466</v>
      </c>
      <c r="B93" s="16" t="s">
        <v>467</v>
      </c>
      <c r="C93" s="16"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0" t="s">
        <v>475</v>
      </c>
      <c r="B96" s="10" t="s">
        <v>476</v>
      </c>
      <c r="C96" s="10"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6" t="s">
        <v>481</v>
      </c>
      <c r="B98" s="10" t="s">
        <v>482</v>
      </c>
      <c r="C98" s="16"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505</v>
      </c>
      <c r="B106" s="10" t="s">
        <v>506</v>
      </c>
      <c r="C106" s="10"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508</v>
      </c>
      <c r="B107" s="10" t="s">
        <v>509</v>
      </c>
      <c r="C107" s="10"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520</v>
      </c>
      <c r="B111" s="16" t="s">
        <v>521</v>
      </c>
      <c r="C111" s="16"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526</v>
      </c>
      <c r="B113" s="10" t="s">
        <v>527</v>
      </c>
      <c r="C113" s="10"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535</v>
      </c>
      <c r="B116" s="16" t="s">
        <v>536</v>
      </c>
      <c r="C116" s="16"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0" t="s">
        <v>541</v>
      </c>
      <c r="B118" s="10" t="s">
        <v>542</v>
      </c>
      <c r="C118" s="10"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553</v>
      </c>
      <c r="B122" s="16" t="s">
        <v>554</v>
      </c>
      <c r="C122" s="16"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565</v>
      </c>
      <c r="B126" s="10" t="s">
        <v>566</v>
      </c>
      <c r="C126" s="10"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6" t="s">
        <v>571</v>
      </c>
      <c r="B128" s="16" t="s">
        <v>572</v>
      </c>
      <c r="C128" s="16"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574</v>
      </c>
      <c r="B129" s="16" t="s">
        <v>575</v>
      </c>
      <c r="C129" s="16"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583</v>
      </c>
      <c r="B132" s="10" t="s">
        <v>584</v>
      </c>
      <c r="C132" s="10"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586</v>
      </c>
      <c r="B133" s="10" t="s">
        <v>587</v>
      </c>
      <c r="C133" s="10"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592</v>
      </c>
      <c r="B135" s="16" t="s">
        <v>593</v>
      </c>
      <c r="C135" s="16"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0" t="s">
        <v>598</v>
      </c>
      <c r="B137" s="10" t="s">
        <v>599</v>
      </c>
      <c r="C137" s="10"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604</v>
      </c>
      <c r="B139" s="16" t="s">
        <v>605</v>
      </c>
      <c r="C139" s="16"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613</v>
      </c>
      <c r="B142" s="16" t="s">
        <v>614</v>
      </c>
      <c r="C142" s="16"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0" t="s">
        <v>616</v>
      </c>
      <c r="B143" s="10" t="s">
        <v>617</v>
      </c>
      <c r="C143" s="10"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631</v>
      </c>
      <c r="B148" s="16" t="s">
        <v>632</v>
      </c>
      <c r="C148" s="16"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634</v>
      </c>
      <c r="B149" s="10" t="s">
        <v>635</v>
      </c>
      <c r="C149" s="10"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6" t="s">
        <v>640</v>
      </c>
      <c r="B151" s="16" t="s">
        <v>641</v>
      </c>
      <c r="C151" s="16"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649</v>
      </c>
      <c r="B154" s="16" t="s">
        <v>650</v>
      </c>
      <c r="C154" s="16"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664</v>
      </c>
      <c r="B159" s="10" t="s">
        <v>665</v>
      </c>
      <c r="C159" s="10"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667</v>
      </c>
      <c r="B160" s="10" t="s">
        <v>668</v>
      </c>
      <c r="C160" s="10"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0" t="s">
        <v>689</v>
      </c>
      <c r="C167" s="10"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691</v>
      </c>
      <c r="B168" s="16" t="s">
        <v>692</v>
      </c>
      <c r="C168" s="16"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0" t="s">
        <v>694</v>
      </c>
      <c r="B169" s="10" t="s">
        <v>695</v>
      </c>
      <c r="C169" s="10"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697</v>
      </c>
      <c r="B170" s="16" t="s">
        <v>698</v>
      </c>
      <c r="C170" s="16"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700</v>
      </c>
      <c r="B171" s="16"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6"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0" t="s">
        <v>706</v>
      </c>
      <c r="B173" s="10" t="s">
        <v>707</v>
      </c>
      <c r="C173" s="10"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709</v>
      </c>
      <c r="B174" s="16" t="s">
        <v>710</v>
      </c>
      <c r="C174" s="16"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718</v>
      </c>
      <c r="B177" s="10" t="s">
        <v>719</v>
      </c>
      <c r="C177" s="10"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6" t="s">
        <v>721</v>
      </c>
      <c r="B178" s="16" t="s">
        <v>722</v>
      </c>
      <c r="C178" s="16"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724</v>
      </c>
      <c r="B179" s="10" t="s">
        <v>725</v>
      </c>
      <c r="C179" s="10"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730</v>
      </c>
      <c r="B181" s="10" t="s">
        <v>731</v>
      </c>
      <c r="C181" s="10"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754</v>
      </c>
      <c r="B189" s="10" t="s">
        <v>755</v>
      </c>
      <c r="C189" s="10"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763</v>
      </c>
      <c r="B192" s="10"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784</v>
      </c>
      <c r="B199" s="21"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805</v>
      </c>
      <c r="B206" s="16" t="s">
        <v>806</v>
      </c>
      <c r="C206" s="16"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826</v>
      </c>
      <c r="B213" s="21"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859</v>
      </c>
      <c r="B224" s="10" t="s">
        <v>860</v>
      </c>
      <c r="C224" s="10"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880</v>
      </c>
      <c r="B231" s="16" t="s">
        <v>881</v>
      </c>
      <c r="C231" s="16"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925</v>
      </c>
      <c r="B246" s="10" t="s">
        <v>926</v>
      </c>
      <c r="C246" s="10"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45" t="s">
        <v>980</v>
      </c>
      <c r="C264" s="45"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20</v>
      </c>
      <c r="C265" s="10" t="s">
        <v>983</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984</v>
      </c>
      <c r="B266" s="16" t="s">
        <v>985</v>
      </c>
      <c r="C266" s="16" t="s">
        <v>986</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987</v>
      </c>
      <c r="B267" s="16" t="s">
        <v>988</v>
      </c>
      <c r="C267" s="16" t="s">
        <v>989</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990</v>
      </c>
      <c r="B268" s="16" t="s">
        <v>991</v>
      </c>
      <c r="C268" s="16" t="s">
        <v>992</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993</v>
      </c>
      <c r="B269" s="16" t="s">
        <v>994</v>
      </c>
      <c r="C269" s="16" t="s">
        <v>995</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996</v>
      </c>
      <c r="B270" s="10" t="s">
        <v>997</v>
      </c>
      <c r="C270" s="10" t="s">
        <v>998</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999</v>
      </c>
      <c r="B271" s="16" t="s">
        <v>1000</v>
      </c>
      <c r="C271" s="16" t="s">
        <v>1001</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1002</v>
      </c>
      <c r="B272" s="10" t="s">
        <v>1003</v>
      </c>
      <c r="C272" s="10" t="s">
        <v>1004</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1005</v>
      </c>
      <c r="B273" s="16" t="s">
        <v>1006</v>
      </c>
      <c r="C273" s="10" t="s">
        <v>1007</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1008</v>
      </c>
      <c r="B274" s="10" t="s">
        <v>1009</v>
      </c>
      <c r="C274" s="10" t="s">
        <v>1010</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1011</v>
      </c>
      <c r="B275" s="16" t="s">
        <v>1012</v>
      </c>
      <c r="C275" s="16" t="s">
        <v>1013</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1014</v>
      </c>
      <c r="B276" s="10" t="s">
        <v>1015</v>
      </c>
      <c r="C276" s="10" t="s">
        <v>1016</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1017</v>
      </c>
      <c r="B277" s="10" t="s">
        <v>1018</v>
      </c>
      <c r="C277" s="10" t="s">
        <v>1019</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1020</v>
      </c>
      <c r="B278" s="16" t="s">
        <v>1021</v>
      </c>
      <c r="C278" s="16" t="s">
        <v>1022</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1023</v>
      </c>
      <c r="B279" s="16" t="s">
        <v>1024</v>
      </c>
      <c r="C279" s="16" t="s">
        <v>1025</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1026</v>
      </c>
      <c r="B280" s="10" t="s">
        <v>1027</v>
      </c>
      <c r="C280" s="10" t="s">
        <v>1028</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1029</v>
      </c>
      <c r="B281" s="10" t="s">
        <v>1030</v>
      </c>
      <c r="C281" s="10" t="s">
        <v>1031</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1032</v>
      </c>
      <c r="B282" s="16" t="s">
        <v>1033</v>
      </c>
      <c r="C282" s="16" t="s">
        <v>1034</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1035</v>
      </c>
      <c r="B283" s="10" t="s">
        <v>1036</v>
      </c>
      <c r="C283" s="10" t="s">
        <v>1037</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1038</v>
      </c>
      <c r="B284" s="16" t="s">
        <v>1039</v>
      </c>
      <c r="C284" s="16" t="s">
        <v>1040</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1041</v>
      </c>
      <c r="B285" s="10" t="s">
        <v>1042</v>
      </c>
      <c r="C285" s="10" t="s">
        <v>1043</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1044</v>
      </c>
      <c r="B286" s="10" t="s">
        <v>1045</v>
      </c>
      <c r="C286" s="10" t="s">
        <v>1046</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1047</v>
      </c>
      <c r="B287" s="10" t="s">
        <v>1048</v>
      </c>
      <c r="C287" s="10" t="s">
        <v>1049</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1050</v>
      </c>
      <c r="B288" s="10" t="s">
        <v>1051</v>
      </c>
      <c r="C288" s="10" t="s">
        <v>1052</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1053</v>
      </c>
      <c r="B289" s="10" t="s">
        <v>1054</v>
      </c>
      <c r="C289" s="10" t="s">
        <v>1055</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1056</v>
      </c>
      <c r="B290" s="16" t="s">
        <v>1057</v>
      </c>
      <c r="C290" s="16" t="s">
        <v>1058</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1059</v>
      </c>
      <c r="B291" s="10" t="s">
        <v>1060</v>
      </c>
      <c r="C291" s="10" t="s">
        <v>1061</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1062</v>
      </c>
      <c r="B292" s="10" t="s">
        <v>1063</v>
      </c>
      <c r="C292" s="10" t="s">
        <v>1064</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1065</v>
      </c>
      <c r="B293" s="16" t="s">
        <v>1066</v>
      </c>
      <c r="C293" s="16" t="s">
        <v>1067</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1068</v>
      </c>
      <c r="B294" s="16" t="s">
        <v>1069</v>
      </c>
      <c r="C294" s="16" t="s">
        <v>1070</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1071</v>
      </c>
      <c r="B295" s="16" t="s">
        <v>1072</v>
      </c>
      <c r="C295" s="16" t="s">
        <v>1073</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1074</v>
      </c>
      <c r="B296" s="10" t="s">
        <v>1075</v>
      </c>
      <c r="C296" s="10" t="s">
        <v>1076</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1077</v>
      </c>
      <c r="B297" s="10" t="s">
        <v>1078</v>
      </c>
      <c r="C297" s="10" t="s">
        <v>1079</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1080</v>
      </c>
      <c r="B298" s="16" t="s">
        <v>1081</v>
      </c>
      <c r="C298" s="16" t="s">
        <v>1082</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1083</v>
      </c>
      <c r="B299" s="16" t="s">
        <v>1084</v>
      </c>
      <c r="C299" s="16" t="s">
        <v>1085</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1086</v>
      </c>
      <c r="B300" s="10" t="s">
        <v>1087</v>
      </c>
      <c r="C300" s="16" t="s">
        <v>1088</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1089</v>
      </c>
      <c r="B301" s="10" t="s">
        <v>1090</v>
      </c>
      <c r="C301" s="10" t="s">
        <v>1091</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1092</v>
      </c>
      <c r="B302" s="10" t="s">
        <v>1093</v>
      </c>
      <c r="C302" s="10" t="s">
        <v>1094</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1095</v>
      </c>
      <c r="B303" s="10" t="s">
        <v>1096</v>
      </c>
      <c r="C303" s="10" t="s">
        <v>1097</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1098</v>
      </c>
      <c r="B304" s="16" t="s">
        <v>1099</v>
      </c>
      <c r="C304" s="16" t="s">
        <v>1100</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1101</v>
      </c>
      <c r="B305" s="10" t="s">
        <v>1102</v>
      </c>
      <c r="C305" s="10" t="s">
        <v>1103</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1104</v>
      </c>
      <c r="B306" s="10" t="s">
        <v>1105</v>
      </c>
      <c r="C306" s="10" t="s">
        <v>1106</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1107</v>
      </c>
      <c r="B307" s="10" t="s">
        <v>1108</v>
      </c>
      <c r="C307" s="10" t="s">
        <v>1109</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1110</v>
      </c>
      <c r="B308" s="10" t="s">
        <v>1111</v>
      </c>
      <c r="C308" s="10" t="s">
        <v>1112</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1113</v>
      </c>
      <c r="B309" s="16" t="s">
        <v>1114</v>
      </c>
      <c r="C309" s="16" t="s">
        <v>1115</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1116</v>
      </c>
      <c r="B310" s="10" t="s">
        <v>1117</v>
      </c>
      <c r="C310" s="10" t="s">
        <v>1118</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1119</v>
      </c>
      <c r="B311" s="16" t="s">
        <v>1120</v>
      </c>
      <c r="C311" s="16" t="s">
        <v>1121</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1122</v>
      </c>
      <c r="B312" s="10" t="s">
        <v>1123</v>
      </c>
      <c r="C312" s="10" t="s">
        <v>1124</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1125</v>
      </c>
      <c r="B313" s="16" t="s">
        <v>1126</v>
      </c>
      <c r="C313" s="16" t="s">
        <v>1127</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1128</v>
      </c>
      <c r="B314" s="16" t="s">
        <v>1129</v>
      </c>
      <c r="C314" s="16" t="s">
        <v>1130</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1131</v>
      </c>
      <c r="B315" s="16" t="s">
        <v>1132</v>
      </c>
      <c r="C315" s="16" t="s">
        <v>1133</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1134</v>
      </c>
      <c r="B316" s="16" t="s">
        <v>1135</v>
      </c>
      <c r="C316" s="16" t="s">
        <v>1136</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1137</v>
      </c>
      <c r="B317" s="16" t="s">
        <v>1138</v>
      </c>
      <c r="C317" s="16" t="s">
        <v>1139</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1140</v>
      </c>
      <c r="B318" s="16" t="s">
        <v>1141</v>
      </c>
      <c r="C318" s="16" t="s">
        <v>1142</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1143</v>
      </c>
      <c r="B319" s="16" t="s">
        <v>1144</v>
      </c>
      <c r="C319" s="16" t="s">
        <v>1145</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1146</v>
      </c>
      <c r="B320" s="16" t="s">
        <v>1147</v>
      </c>
      <c r="C320" s="16" t="s">
        <v>1148</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1149</v>
      </c>
      <c r="B321" s="10" t="s">
        <v>1150</v>
      </c>
      <c r="C321" s="10" t="s">
        <v>1151</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1152</v>
      </c>
      <c r="B322" s="16" t="s">
        <v>1153</v>
      </c>
      <c r="C322" s="16" t="s">
        <v>1154</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1155</v>
      </c>
      <c r="B323" s="16" t="s">
        <v>1156</v>
      </c>
      <c r="C323" s="16" t="s">
        <v>1157</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1158</v>
      </c>
      <c r="B324" s="10" t="s">
        <v>1159</v>
      </c>
      <c r="C324" s="10" t="s">
        <v>1160</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1161</v>
      </c>
      <c r="B325" s="16" t="s">
        <v>1162</v>
      </c>
      <c r="C325" s="16" t="s">
        <v>1163</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1164</v>
      </c>
      <c r="B326" s="10" t="s">
        <v>1165</v>
      </c>
      <c r="C326" s="10" t="s">
        <v>1166</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1167</v>
      </c>
      <c r="B327" s="16" t="s">
        <v>1168</v>
      </c>
      <c r="C327" s="16" t="s">
        <v>1169</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1170</v>
      </c>
      <c r="B328" s="10" t="s">
        <v>1171</v>
      </c>
      <c r="C328" s="10" t="s">
        <v>1172</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1173</v>
      </c>
      <c r="B329" s="16" t="s">
        <v>1174</v>
      </c>
      <c r="C329" s="16" t="s">
        <v>1175</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1176</v>
      </c>
      <c r="B330" s="10" t="s">
        <v>1177</v>
      </c>
      <c r="C330" s="10" t="s">
        <v>1178</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1179</v>
      </c>
      <c r="B331" s="10" t="s">
        <v>1180</v>
      </c>
      <c r="C331" s="10" t="s">
        <v>1181</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1182</v>
      </c>
      <c r="B332" s="16" t="s">
        <v>1183</v>
      </c>
      <c r="C332" s="16" t="s">
        <v>1184</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1185</v>
      </c>
      <c r="B333" s="10" t="s">
        <v>1186</v>
      </c>
      <c r="C333" s="10" t="s">
        <v>1187</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1188</v>
      </c>
      <c r="B334" s="16" t="s">
        <v>1189</v>
      </c>
      <c r="C334" s="16" t="s">
        <v>1190</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1191</v>
      </c>
      <c r="B335" s="10" t="s">
        <v>1192</v>
      </c>
      <c r="C335" s="10" t="s">
        <v>1193</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1194</v>
      </c>
      <c r="B336" s="10" t="s">
        <v>1195</v>
      </c>
      <c r="C336" s="10" t="s">
        <v>1196</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1197</v>
      </c>
      <c r="B337" s="10" t="s">
        <v>1198</v>
      </c>
      <c r="C337" s="10" t="s">
        <v>1199</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1200</v>
      </c>
      <c r="B338" s="10" t="s">
        <v>1201</v>
      </c>
      <c r="C338" s="10" t="s">
        <v>1202</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1203</v>
      </c>
      <c r="B339" s="10" t="s">
        <v>1204</v>
      </c>
      <c r="C339" s="10" t="s">
        <v>1205</v>
      </c>
      <c r="D339" s="23"/>
      <c r="E339" s="23"/>
      <c r="F339" s="23"/>
      <c r="G339" s="19"/>
      <c r="H339" s="19"/>
      <c r="I339" s="44"/>
      <c r="J339" s="14"/>
      <c r="K339" s="23"/>
      <c r="L339" s="23"/>
      <c r="M339" s="23"/>
      <c r="N339" s="23"/>
      <c r="O339" s="23"/>
      <c r="P339" s="23"/>
      <c r="Q339" s="46"/>
      <c r="R339" s="14"/>
      <c r="S339" s="23"/>
      <c r="T339" s="23"/>
      <c r="U339" s="23"/>
      <c r="V339" s="23"/>
      <c r="W339" s="23"/>
      <c r="X339" s="23"/>
    </row>
    <row r="340">
      <c r="A340" s="21" t="s">
        <v>1206</v>
      </c>
      <c r="B340" s="21" t="s">
        <v>1207</v>
      </c>
      <c r="C340" s="10" t="s">
        <v>1208</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1209</v>
      </c>
      <c r="B341" s="16" t="s">
        <v>1210</v>
      </c>
      <c r="C341" s="16" t="s">
        <v>1211</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1212</v>
      </c>
      <c r="B342" s="16" t="s">
        <v>1213</v>
      </c>
      <c r="C342" s="16" t="s">
        <v>1214</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1215</v>
      </c>
      <c r="B343" s="16" t="s">
        <v>1216</v>
      </c>
      <c r="C343" s="16" t="s">
        <v>1217</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1218</v>
      </c>
      <c r="B344" s="16" t="s">
        <v>1219</v>
      </c>
      <c r="C344" s="16" t="s">
        <v>1220</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1221</v>
      </c>
      <c r="B345" s="16" t="s">
        <v>1222</v>
      </c>
      <c r="C345" s="16" t="s">
        <v>1223</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1224</v>
      </c>
      <c r="B346" s="16" t="s">
        <v>1225</v>
      </c>
      <c r="C346" s="16" t="s">
        <v>1226</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1227</v>
      </c>
      <c r="B347" s="16" t="s">
        <v>1228</v>
      </c>
      <c r="C347" s="16" t="s">
        <v>1229</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1230</v>
      </c>
      <c r="B348" s="16" t="s">
        <v>1231</v>
      </c>
      <c r="C348" s="16" t="s">
        <v>1232</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1233</v>
      </c>
      <c r="B349" s="10" t="s">
        <v>1234</v>
      </c>
      <c r="C349" s="10" t="s">
        <v>1235</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1236</v>
      </c>
      <c r="B350" s="16" t="s">
        <v>1237</v>
      </c>
      <c r="C350" s="16" t="s">
        <v>1238</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1239</v>
      </c>
      <c r="B351" s="10" t="s">
        <v>1240</v>
      </c>
      <c r="C351" s="10" t="s">
        <v>1241</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1242</v>
      </c>
      <c r="B352" s="10" t="s">
        <v>1243</v>
      </c>
      <c r="C352" s="10" t="s">
        <v>1244</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1245</v>
      </c>
      <c r="B353" s="16" t="s">
        <v>1246</v>
      </c>
      <c r="C353" s="16" t="s">
        <v>1247</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1248</v>
      </c>
      <c r="B354" s="10" t="s">
        <v>1249</v>
      </c>
      <c r="C354" s="10" t="s">
        <v>1250</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1251</v>
      </c>
      <c r="B355" s="16" t="s">
        <v>1252</v>
      </c>
      <c r="C355" s="16" t="s">
        <v>1253</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1254</v>
      </c>
      <c r="B356" s="16" t="s">
        <v>1255</v>
      </c>
      <c r="C356" s="16" t="s">
        <v>1256</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1257</v>
      </c>
      <c r="B357" s="16" t="s">
        <v>1258</v>
      </c>
      <c r="C357" s="16" t="s">
        <v>1259</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1260</v>
      </c>
      <c r="B358" s="16" t="s">
        <v>1261</v>
      </c>
      <c r="C358" s="16" t="s">
        <v>1262</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1263</v>
      </c>
      <c r="B359" s="10" t="s">
        <v>1264</v>
      </c>
      <c r="C359" s="10" t="s">
        <v>1265</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1266</v>
      </c>
      <c r="B360" s="10" t="s">
        <v>1267</v>
      </c>
      <c r="C360" s="10" t="s">
        <v>1268</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1269</v>
      </c>
      <c r="B361" s="10" t="s">
        <v>1270</v>
      </c>
      <c r="C361" s="10" t="s">
        <v>1271</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1272</v>
      </c>
      <c r="B362" s="10" t="s">
        <v>1273</v>
      </c>
      <c r="C362" s="10" t="s">
        <v>1274</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1275</v>
      </c>
      <c r="B363" s="16" t="s">
        <v>1276</v>
      </c>
      <c r="C363" s="16" t="s">
        <v>1277</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1278</v>
      </c>
      <c r="B364" s="10" t="s">
        <v>1279</v>
      </c>
      <c r="C364" s="10" t="s">
        <v>1280</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1281</v>
      </c>
      <c r="B365" s="10" t="s">
        <v>1282</v>
      </c>
      <c r="C365" s="10" t="s">
        <v>1283</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1284</v>
      </c>
      <c r="B366" s="21" t="s">
        <v>1285</v>
      </c>
      <c r="C366" s="10" t="s">
        <v>1286</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1287</v>
      </c>
      <c r="B367" s="10" t="s">
        <v>1288</v>
      </c>
      <c r="C367" s="10" t="s">
        <v>1289</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1290</v>
      </c>
      <c r="B368" s="16" t="s">
        <v>1291</v>
      </c>
      <c r="C368" s="16" t="s">
        <v>1292</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1293</v>
      </c>
      <c r="B369" s="10" t="s">
        <v>1294</v>
      </c>
      <c r="C369" s="10" t="s">
        <v>1295</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1296</v>
      </c>
      <c r="B370" s="16" t="s">
        <v>1297</v>
      </c>
      <c r="C370" s="16" t="s">
        <v>1298</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1299</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1302</v>
      </c>
      <c r="B372" s="10" t="s">
        <v>1303</v>
      </c>
      <c r="C372" s="10"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1305</v>
      </c>
      <c r="B373" s="16" t="s">
        <v>1306</v>
      </c>
      <c r="C373" s="16"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1308</v>
      </c>
      <c r="B374" s="16" t="s">
        <v>1309</v>
      </c>
      <c r="C374" s="16"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1314</v>
      </c>
      <c r="B376" s="10" t="s">
        <v>1315</v>
      </c>
      <c r="C376" s="10"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1317</v>
      </c>
      <c r="B377" s="10" t="s">
        <v>1318</v>
      </c>
      <c r="C377" s="10"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1320</v>
      </c>
      <c r="B378" s="16" t="s">
        <v>1321</v>
      </c>
      <c r="C378" s="16"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1323</v>
      </c>
      <c r="B379" s="16" t="s">
        <v>1324</v>
      </c>
      <c r="C379" s="16"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1326</v>
      </c>
      <c r="C380" s="16" t="s">
        <v>1327</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1328</v>
      </c>
      <c r="B381" s="16" t="s">
        <v>1329</v>
      </c>
      <c r="C381" s="16" t="s">
        <v>1330</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1331</v>
      </c>
      <c r="B382" s="21" t="s">
        <v>1332</v>
      </c>
      <c r="C382" s="10" t="s">
        <v>1333</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1334</v>
      </c>
      <c r="B383" s="10" t="s">
        <v>1335</v>
      </c>
      <c r="C383" s="10" t="s">
        <v>1336</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1337</v>
      </c>
      <c r="B384" s="16" t="s">
        <v>1338</v>
      </c>
      <c r="C384" s="16" t="s">
        <v>1339</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1340</v>
      </c>
      <c r="B385" s="16" t="s">
        <v>1341</v>
      </c>
      <c r="C385" s="16" t="s">
        <v>1342</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1343</v>
      </c>
      <c r="B386" s="16" t="s">
        <v>1344</v>
      </c>
      <c r="C386" s="16" t="s">
        <v>1345</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1346</v>
      </c>
      <c r="B387" s="10" t="s">
        <v>1347</v>
      </c>
      <c r="C387" s="10" t="s">
        <v>1348</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1349</v>
      </c>
      <c r="B388" s="10" t="s">
        <v>1350</v>
      </c>
      <c r="C388" s="10" t="s">
        <v>1351</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1352</v>
      </c>
      <c r="B389" s="16" t="s">
        <v>1353</v>
      </c>
      <c r="C389" s="16" t="s">
        <v>1354</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1355</v>
      </c>
      <c r="B390" s="16" t="s">
        <v>1356</v>
      </c>
      <c r="C390" s="16" t="s">
        <v>1357</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1358</v>
      </c>
      <c r="B391" s="10" t="s">
        <v>1359</v>
      </c>
      <c r="C391" s="10" t="s">
        <v>1360</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1361</v>
      </c>
      <c r="B392" s="16" t="s">
        <v>1362</v>
      </c>
      <c r="C392" s="16" t="s">
        <v>1363</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1364</v>
      </c>
      <c r="B393" s="16" t="s">
        <v>1365</v>
      </c>
      <c r="C393" s="16" t="s">
        <v>1366</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1367</v>
      </c>
      <c r="B394" s="16" t="s">
        <v>1368</v>
      </c>
      <c r="C394" s="16" t="s">
        <v>1369</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1370</v>
      </c>
      <c r="B395" s="16" t="s">
        <v>1371</v>
      </c>
      <c r="C395" s="16" t="s">
        <v>1372</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1373</v>
      </c>
      <c r="B396" s="16" t="s">
        <v>1374</v>
      </c>
      <c r="C396" s="16" t="s">
        <v>1375</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1376</v>
      </c>
      <c r="B397" s="10" t="s">
        <v>1377</v>
      </c>
      <c r="C397" s="10" t="s">
        <v>1378</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1379</v>
      </c>
      <c r="B398" s="16" t="s">
        <v>1380</v>
      </c>
      <c r="C398" s="16" t="s">
        <v>1381</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1382</v>
      </c>
      <c r="B399" s="16" t="s">
        <v>1383</v>
      </c>
      <c r="C399" s="16" t="s">
        <v>1384</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1385</v>
      </c>
      <c r="B400" s="10" t="s">
        <v>1386</v>
      </c>
      <c r="C400" s="10" t="s">
        <v>1387</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1388</v>
      </c>
      <c r="B401" s="16" t="s">
        <v>1389</v>
      </c>
      <c r="C401" s="16" t="s">
        <v>1390</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1391</v>
      </c>
      <c r="B402" s="16" t="s">
        <v>1392</v>
      </c>
      <c r="C402" s="16" t="s">
        <v>1393</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1394</v>
      </c>
      <c r="B403" s="16" t="s">
        <v>1395</v>
      </c>
      <c r="C403" s="16" t="s">
        <v>1396</v>
      </c>
      <c r="D403" s="23"/>
      <c r="E403" s="23"/>
      <c r="F403" s="23"/>
      <c r="G403" s="19"/>
      <c r="H403" s="19"/>
      <c r="I403" s="10"/>
      <c r="J403" s="14"/>
      <c r="K403" s="23"/>
      <c r="L403" s="23"/>
      <c r="M403" s="23"/>
      <c r="N403" s="23"/>
      <c r="O403" s="23"/>
      <c r="P403" s="23"/>
      <c r="Q403" s="14"/>
      <c r="R403" s="14"/>
      <c r="S403" s="23"/>
      <c r="T403" s="23"/>
      <c r="U403" s="23"/>
      <c r="V403" s="23"/>
      <c r="W403" s="23"/>
      <c r="X403" s="23"/>
    </row>
    <row r="404">
      <c r="A404" s="10" t="s">
        <v>1397</v>
      </c>
      <c r="B404" s="10" t="s">
        <v>1398</v>
      </c>
      <c r="C404" s="10" t="s">
        <v>1399</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1400</v>
      </c>
      <c r="B405" s="16" t="s">
        <v>1401</v>
      </c>
      <c r="C405" s="16" t="s">
        <v>1402</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1403</v>
      </c>
      <c r="B406" s="10" t="s">
        <v>1404</v>
      </c>
      <c r="C406" s="10" t="s">
        <v>1405</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1406</v>
      </c>
      <c r="B407" s="10" t="s">
        <v>1407</v>
      </c>
      <c r="C407" s="10" t="s">
        <v>1408</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1409</v>
      </c>
      <c r="B408" s="10" t="s">
        <v>1410</v>
      </c>
      <c r="C408" s="10" t="s">
        <v>1411</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1412</v>
      </c>
      <c r="B409" s="16" t="s">
        <v>1413</v>
      </c>
      <c r="C409" s="16" t="s">
        <v>1414</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1415</v>
      </c>
      <c r="B410" s="16" t="s">
        <v>1416</v>
      </c>
      <c r="C410" s="16" t="s">
        <v>1417</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1418</v>
      </c>
      <c r="B411" s="16" t="s">
        <v>1419</v>
      </c>
      <c r="C411" s="16" t="s">
        <v>1420</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1421</v>
      </c>
      <c r="B412" s="16" t="s">
        <v>1422</v>
      </c>
      <c r="C412" s="16" t="s">
        <v>1423</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1424</v>
      </c>
      <c r="B413" s="16" t="s">
        <v>1425</v>
      </c>
      <c r="C413" s="16" t="s">
        <v>1426</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1427</v>
      </c>
      <c r="B414" s="16" t="s">
        <v>1428</v>
      </c>
      <c r="C414" s="16" t="s">
        <v>1429</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1430</v>
      </c>
      <c r="B415" s="16" t="s">
        <v>1431</v>
      </c>
      <c r="C415" s="16" t="s">
        <v>1432</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1433</v>
      </c>
      <c r="B416" s="16" t="s">
        <v>1434</v>
      </c>
      <c r="C416" s="16" t="s">
        <v>1435</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1436</v>
      </c>
      <c r="B417" s="10" t="s">
        <v>1437</v>
      </c>
      <c r="C417" s="10" t="s">
        <v>1438</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1439</v>
      </c>
      <c r="B418" s="16" t="s">
        <v>1440</v>
      </c>
      <c r="C418" s="16" t="s">
        <v>1441</v>
      </c>
      <c r="D418" s="23"/>
      <c r="E418" s="23"/>
      <c r="F418" s="23"/>
      <c r="G418" s="19"/>
      <c r="H418" s="19"/>
      <c r="I418" s="10"/>
      <c r="J418" s="14"/>
      <c r="K418" s="23"/>
      <c r="L418" s="23"/>
      <c r="M418" s="23"/>
      <c r="N418" s="23"/>
      <c r="O418" s="23"/>
      <c r="P418" s="23"/>
      <c r="Q418" s="14"/>
      <c r="R418" s="14"/>
      <c r="S418" s="23"/>
      <c r="T418" s="23"/>
      <c r="U418" s="23"/>
      <c r="V418" s="23"/>
      <c r="W418" s="23"/>
      <c r="X418" s="23"/>
    </row>
    <row r="419">
      <c r="A419" s="10" t="s">
        <v>1442</v>
      </c>
      <c r="B419" s="10" t="s">
        <v>1443</v>
      </c>
      <c r="C419" s="10" t="s">
        <v>1444</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1445</v>
      </c>
      <c r="B420" s="16" t="s">
        <v>1446</v>
      </c>
      <c r="C420" s="16" t="s">
        <v>1447</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1448</v>
      </c>
      <c r="B421" s="16" t="s">
        <v>1449</v>
      </c>
      <c r="C421" s="16" t="s">
        <v>1450</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1451</v>
      </c>
      <c r="B422" s="10" t="s">
        <v>1452</v>
      </c>
      <c r="C422" s="10" t="s">
        <v>1453</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1454</v>
      </c>
      <c r="B423" s="16" t="s">
        <v>1455</v>
      </c>
      <c r="C423" s="16" t="s">
        <v>1456</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1457</v>
      </c>
      <c r="B424" s="16" t="s">
        <v>1458</v>
      </c>
      <c r="C424" s="16" t="s">
        <v>1459</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1460</v>
      </c>
      <c r="B425" s="10" t="s">
        <v>1461</v>
      </c>
      <c r="C425" s="10" t="s">
        <v>1462</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1463</v>
      </c>
      <c r="B426" s="16" t="s">
        <v>1464</v>
      </c>
      <c r="C426" s="16" t="s">
        <v>1465</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1466</v>
      </c>
      <c r="B427" s="16" t="s">
        <v>1467</v>
      </c>
      <c r="C427" s="16" t="s">
        <v>1468</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1469</v>
      </c>
      <c r="B428" s="16" t="s">
        <v>1470</v>
      </c>
      <c r="C428" s="16" t="s">
        <v>1471</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1472</v>
      </c>
      <c r="B429" s="16" t="s">
        <v>1473</v>
      </c>
      <c r="C429" s="16" t="s">
        <v>1474</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1475</v>
      </c>
      <c r="B430" s="10" t="s">
        <v>1476</v>
      </c>
      <c r="C430" s="10" t="s">
        <v>1477</v>
      </c>
      <c r="D430" s="23"/>
      <c r="E430" s="23"/>
      <c r="F430" s="23"/>
      <c r="G430" s="19"/>
      <c r="H430" s="19"/>
      <c r="I430" s="10"/>
      <c r="J430" s="14"/>
      <c r="K430" s="23"/>
      <c r="L430" s="23"/>
      <c r="M430" s="23"/>
      <c r="N430" s="23"/>
      <c r="O430" s="23"/>
      <c r="P430" s="23"/>
      <c r="Q430" s="14"/>
      <c r="R430" s="14"/>
      <c r="S430" s="23"/>
      <c r="T430" s="23"/>
      <c r="U430" s="23"/>
      <c r="V430" s="23"/>
      <c r="W430" s="23"/>
      <c r="X430" s="23"/>
    </row>
    <row r="431">
      <c r="A431" s="21" t="s">
        <v>1478</v>
      </c>
      <c r="B431" s="21" t="s">
        <v>1479</v>
      </c>
      <c r="C431" s="10" t="s">
        <v>1480</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1481</v>
      </c>
      <c r="B432" s="10" t="s">
        <v>1482</v>
      </c>
      <c r="C432" s="10" t="s">
        <v>1483</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1484</v>
      </c>
      <c r="B433" s="16" t="s">
        <v>1485</v>
      </c>
      <c r="C433" s="16" t="s">
        <v>1486</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1487</v>
      </c>
      <c r="B434" s="10" t="s">
        <v>1488</v>
      </c>
      <c r="C434" s="10" t="s">
        <v>1489</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1490</v>
      </c>
      <c r="B435" s="10" t="s">
        <v>1491</v>
      </c>
      <c r="C435" s="10" t="s">
        <v>1492</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1493</v>
      </c>
      <c r="B436" s="16" t="s">
        <v>1494</v>
      </c>
      <c r="C436" s="16" t="s">
        <v>1495</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1496</v>
      </c>
      <c r="B437" s="10" t="s">
        <v>1497</v>
      </c>
      <c r="C437" s="10" t="s">
        <v>1498</v>
      </c>
      <c r="D437" s="23"/>
      <c r="E437" s="23"/>
      <c r="F437" s="23"/>
      <c r="G437" s="19"/>
      <c r="H437" s="19"/>
      <c r="I437" s="10"/>
      <c r="J437" s="14"/>
      <c r="K437" s="23"/>
      <c r="L437" s="23"/>
      <c r="M437" s="23"/>
      <c r="N437" s="23"/>
      <c r="O437" s="23"/>
      <c r="P437" s="23"/>
      <c r="Q437" s="14"/>
      <c r="R437" s="14"/>
      <c r="S437" s="23"/>
      <c r="T437" s="23"/>
      <c r="U437" s="23"/>
      <c r="V437" s="23"/>
      <c r="W437" s="23"/>
      <c r="X437" s="23"/>
    </row>
    <row r="438">
      <c r="A438" s="21" t="s">
        <v>1499</v>
      </c>
      <c r="B438" s="21" t="s">
        <v>1500</v>
      </c>
      <c r="C438" s="10" t="s">
        <v>1501</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1502</v>
      </c>
      <c r="B439" s="10" t="s">
        <v>1503</v>
      </c>
      <c r="C439" s="10" t="s">
        <v>1504</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1505</v>
      </c>
      <c r="B440" s="10" t="s">
        <v>1506</v>
      </c>
      <c r="C440" s="10" t="s">
        <v>1507</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1508</v>
      </c>
      <c r="B441" s="10" t="s">
        <v>1509</v>
      </c>
      <c r="C441" s="10" t="s">
        <v>1510</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1511</v>
      </c>
      <c r="B442" s="10" t="s">
        <v>1512</v>
      </c>
      <c r="C442" s="10" t="s">
        <v>1513</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1514</v>
      </c>
      <c r="B443" s="10" t="s">
        <v>1515</v>
      </c>
      <c r="C443" s="10" t="s">
        <v>1516</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1517</v>
      </c>
      <c r="B444" s="10" t="s">
        <v>1518</v>
      </c>
      <c r="C444" s="10" t="s">
        <v>1519</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1520</v>
      </c>
      <c r="B445" s="16" t="s">
        <v>1521</v>
      </c>
      <c r="C445" s="16" t="s">
        <v>1522</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1523</v>
      </c>
      <c r="B446" s="16" t="s">
        <v>1524</v>
      </c>
      <c r="C446" s="16" t="s">
        <v>1525</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1526</v>
      </c>
      <c r="B447" s="10" t="s">
        <v>1527</v>
      </c>
      <c r="C447" s="10" t="s">
        <v>1528</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1529</v>
      </c>
      <c r="B448" s="16" t="s">
        <v>1530</v>
      </c>
      <c r="C448" s="16" t="s">
        <v>1531</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1532</v>
      </c>
      <c r="B449" s="16" t="s">
        <v>1533</v>
      </c>
      <c r="C449" s="16" t="s">
        <v>1534</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1535</v>
      </c>
      <c r="B450" s="10" t="s">
        <v>1536</v>
      </c>
      <c r="C450" s="10" t="s">
        <v>1537</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1538</v>
      </c>
      <c r="B451" s="16" t="s">
        <v>1539</v>
      </c>
      <c r="C451" s="16" t="s">
        <v>1540</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1541</v>
      </c>
      <c r="B452" s="10" t="s">
        <v>1542</v>
      </c>
      <c r="C452" s="10" t="s">
        <v>1543</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1544</v>
      </c>
      <c r="B453" s="10" t="s">
        <v>1545</v>
      </c>
      <c r="C453" s="10" t="s">
        <v>1546</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1547</v>
      </c>
      <c r="B454" s="10" t="s">
        <v>1548</v>
      </c>
      <c r="C454" s="10" t="s">
        <v>1549</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1550</v>
      </c>
      <c r="B455" s="10" t="s">
        <v>1551</v>
      </c>
      <c r="C455" s="10" t="s">
        <v>1552</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1553</v>
      </c>
      <c r="B456" s="10" t="s">
        <v>1554</v>
      </c>
      <c r="C456" s="10" t="s">
        <v>1555</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1556</v>
      </c>
      <c r="B457" s="10" t="s">
        <v>1557</v>
      </c>
      <c r="C457" s="10" t="s">
        <v>1558</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1559</v>
      </c>
      <c r="B458" s="16" t="s">
        <v>1560</v>
      </c>
      <c r="C458" s="16" t="s">
        <v>1561</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1562</v>
      </c>
      <c r="B459" s="10" t="s">
        <v>1563</v>
      </c>
      <c r="C459" s="10" t="s">
        <v>1564</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1565</v>
      </c>
      <c r="B460" s="10" t="s">
        <v>1566</v>
      </c>
      <c r="C460" s="10" t="s">
        <v>1567</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1568</v>
      </c>
      <c r="B461" s="16" t="s">
        <v>1569</v>
      </c>
      <c r="C461" s="16" t="s">
        <v>1570</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1571</v>
      </c>
      <c r="B462" s="16" t="s">
        <v>1572</v>
      </c>
      <c r="C462" s="16" t="s">
        <v>1573</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1574</v>
      </c>
      <c r="B463" s="16" t="s">
        <v>1575</v>
      </c>
      <c r="C463" s="16" t="s">
        <v>1576</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1577</v>
      </c>
      <c r="B464" s="10" t="s">
        <v>1578</v>
      </c>
      <c r="C464" s="10" t="s">
        <v>1579</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1580</v>
      </c>
      <c r="B465" s="16" t="s">
        <v>1581</v>
      </c>
      <c r="C465" s="16" t="s">
        <v>1582</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1583</v>
      </c>
      <c r="B466" s="16" t="s">
        <v>1584</v>
      </c>
      <c r="C466" s="16" t="s">
        <v>1585</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1586</v>
      </c>
      <c r="B467" s="16" t="s">
        <v>1587</v>
      </c>
      <c r="C467" s="16" t="s">
        <v>1588</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1589</v>
      </c>
      <c r="B468" s="16" t="s">
        <v>1590</v>
      </c>
      <c r="C468" s="16" t="s">
        <v>1591</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1592</v>
      </c>
      <c r="B469" s="10" t="s">
        <v>1593</v>
      </c>
      <c r="C469" s="10" t="s">
        <v>1594</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1595</v>
      </c>
      <c r="B470" s="10" t="s">
        <v>1596</v>
      </c>
      <c r="C470" s="10" t="s">
        <v>1597</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1598</v>
      </c>
      <c r="B471" s="16" t="s">
        <v>1599</v>
      </c>
      <c r="C471" s="16" t="s">
        <v>1600</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1601</v>
      </c>
      <c r="B472" s="10" t="s">
        <v>1602</v>
      </c>
      <c r="C472" s="10" t="s">
        <v>1603</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1604</v>
      </c>
      <c r="B473" s="10" t="s">
        <v>1605</v>
      </c>
      <c r="C473" s="10" t="s">
        <v>1606</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1607</v>
      </c>
      <c r="B474" s="10" t="s">
        <v>1608</v>
      </c>
      <c r="C474" s="10" t="s">
        <v>1609</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1610</v>
      </c>
      <c r="B475" s="16" t="s">
        <v>1611</v>
      </c>
      <c r="C475" s="16" t="s">
        <v>1612</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1613</v>
      </c>
      <c r="B476" s="10" t="s">
        <v>1614</v>
      </c>
      <c r="C476" s="10" t="s">
        <v>1615</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1616</v>
      </c>
      <c r="B477" s="10" t="s">
        <v>1617</v>
      </c>
      <c r="C477" s="10" t="s">
        <v>1618</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1619</v>
      </c>
      <c r="B478" s="10" t="s">
        <v>1620</v>
      </c>
      <c r="C478" s="10" t="s">
        <v>1621</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1622</v>
      </c>
      <c r="B479" s="10" t="s">
        <v>1623</v>
      </c>
      <c r="C479" s="10" t="s">
        <v>1624</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1625</v>
      </c>
      <c r="B480" s="10" t="s">
        <v>1626</v>
      </c>
      <c r="C480" s="10" t="s">
        <v>1627</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1628</v>
      </c>
      <c r="B481" s="16" t="s">
        <v>1629</v>
      </c>
      <c r="C481" s="16" t="s">
        <v>1630</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1631</v>
      </c>
      <c r="B482" s="16" t="s">
        <v>1632</v>
      </c>
      <c r="C482" s="16" t="s">
        <v>1633</v>
      </c>
      <c r="D482" s="23"/>
      <c r="E482" s="23"/>
      <c r="F482" s="23"/>
      <c r="G482" s="19"/>
      <c r="H482" s="19"/>
      <c r="I482" s="10"/>
      <c r="J482" s="14"/>
      <c r="K482" s="23"/>
      <c r="L482" s="23"/>
      <c r="M482" s="23"/>
      <c r="N482" s="23"/>
      <c r="O482" s="23"/>
      <c r="P482" s="23"/>
      <c r="Q482" s="14"/>
      <c r="R482" s="14"/>
      <c r="S482" s="23"/>
      <c r="T482" s="23"/>
      <c r="U482" s="23"/>
      <c r="V482" s="23"/>
      <c r="W482" s="23"/>
      <c r="X482" s="23"/>
    </row>
    <row r="483">
      <c r="A483" s="16" t="s">
        <v>1634</v>
      </c>
      <c r="B483" s="16" t="s">
        <v>1635</v>
      </c>
      <c r="C483" s="16" t="s">
        <v>1636</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1637</v>
      </c>
      <c r="B484" s="10" t="s">
        <v>1638</v>
      </c>
      <c r="C484" s="10" t="s">
        <v>1639</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1640</v>
      </c>
      <c r="B485" s="10" t="s">
        <v>1641</v>
      </c>
      <c r="C485" s="10" t="s">
        <v>1642</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1643</v>
      </c>
      <c r="B486" s="16" t="s">
        <v>1644</v>
      </c>
      <c r="C486" s="16" t="s">
        <v>1645</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1646</v>
      </c>
      <c r="B487" s="10" t="s">
        <v>1647</v>
      </c>
      <c r="C487" s="10" t="s">
        <v>1648</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1649</v>
      </c>
      <c r="B488" s="16" t="s">
        <v>1650</v>
      </c>
      <c r="C488" s="16" t="s">
        <v>1651</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1652</v>
      </c>
      <c r="B489" s="16" t="s">
        <v>1653</v>
      </c>
      <c r="C489" s="16" t="s">
        <v>1654</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1655</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1658</v>
      </c>
      <c r="B491" s="10" t="s">
        <v>1659</v>
      </c>
      <c r="C491" s="10" t="s">
        <v>1660</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1661</v>
      </c>
      <c r="B492" s="16" t="s">
        <v>1662</v>
      </c>
      <c r="C492" s="16" t="s">
        <v>1663</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1664</v>
      </c>
      <c r="B493" s="16" t="s">
        <v>1665</v>
      </c>
      <c r="C493" s="16" t="s">
        <v>1666</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1667</v>
      </c>
      <c r="B494" s="10" t="s">
        <v>1668</v>
      </c>
      <c r="C494" s="10" t="s">
        <v>1669</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1670</v>
      </c>
      <c r="B495" s="10" t="s">
        <v>1671</v>
      </c>
      <c r="C495" s="10" t="s">
        <v>1672</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1673</v>
      </c>
      <c r="B496" s="10" t="s">
        <v>1674</v>
      </c>
      <c r="C496" s="10" t="s">
        <v>1675</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1676</v>
      </c>
      <c r="B497" s="16" t="s">
        <v>1677</v>
      </c>
      <c r="C497" s="16" t="s">
        <v>1678</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1679</v>
      </c>
      <c r="B498" s="10" t="s">
        <v>1680</v>
      </c>
      <c r="C498" s="10" t="s">
        <v>1681</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1682</v>
      </c>
      <c r="B499" s="10" t="s">
        <v>1683</v>
      </c>
      <c r="C499" s="10" t="s">
        <v>1684</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1685</v>
      </c>
      <c r="B500" s="16" t="s">
        <v>1686</v>
      </c>
      <c r="C500" s="16" t="s">
        <v>1687</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1688</v>
      </c>
      <c r="B501" s="10" t="s">
        <v>1689</v>
      </c>
      <c r="C501" s="10" t="s">
        <v>1690</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1691</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1693</v>
      </c>
      <c r="B503" s="16" t="s">
        <v>1693</v>
      </c>
      <c r="C503" s="16" t="s">
        <v>1694</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1695</v>
      </c>
      <c r="B504" s="16" t="s">
        <v>1696</v>
      </c>
      <c r="C504" s="16" t="s">
        <v>1697</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1698</v>
      </c>
      <c r="B505" s="16" t="s">
        <v>1699</v>
      </c>
      <c r="C505" s="16" t="s">
        <v>1700</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1701</v>
      </c>
      <c r="B506" s="16" t="s">
        <v>1702</v>
      </c>
      <c r="C506" s="16" t="s">
        <v>1703</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1704</v>
      </c>
      <c r="B507" s="10" t="s">
        <v>1705</v>
      </c>
      <c r="C507" s="10" t="s">
        <v>1706</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1707</v>
      </c>
      <c r="B508" s="10" t="s">
        <v>1708</v>
      </c>
      <c r="C508" s="10" t="s">
        <v>1709</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1710</v>
      </c>
      <c r="B509" s="16" t="s">
        <v>1711</v>
      </c>
      <c r="C509" s="16" t="s">
        <v>1712</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1713</v>
      </c>
      <c r="B510" s="16" t="s">
        <v>1714</v>
      </c>
      <c r="C510" s="16" t="s">
        <v>1715</v>
      </c>
      <c r="D510" s="23"/>
      <c r="E510" s="23"/>
      <c r="F510" s="23"/>
      <c r="G510" s="19"/>
      <c r="H510" s="19"/>
      <c r="I510" s="21"/>
      <c r="J510" s="24"/>
      <c r="K510" s="14"/>
      <c r="L510" s="23"/>
      <c r="M510" s="23"/>
      <c r="N510" s="23"/>
      <c r="O510" s="23"/>
      <c r="P510" s="23"/>
      <c r="Q510" s="24"/>
      <c r="R510" s="24"/>
      <c r="S510" s="14"/>
      <c r="T510" s="23"/>
      <c r="U510" s="23"/>
      <c r="V510" s="23"/>
      <c r="W510" s="23"/>
      <c r="X510" s="23"/>
    </row>
    <row r="511">
      <c r="A511" s="10" t="s">
        <v>1716</v>
      </c>
      <c r="B511" s="10" t="s">
        <v>1717</v>
      </c>
      <c r="C511" s="10" t="s">
        <v>1718</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1719</v>
      </c>
      <c r="B512" s="16" t="s">
        <v>1720</v>
      </c>
      <c r="C512" s="16" t="s">
        <v>1721</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1722</v>
      </c>
      <c r="B513" s="16" t="s">
        <v>1723</v>
      </c>
      <c r="C513" s="16" t="s">
        <v>1724</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1725</v>
      </c>
      <c r="B514" s="10" t="s">
        <v>1726</v>
      </c>
      <c r="C514" s="10" t="s">
        <v>1727</v>
      </c>
      <c r="D514" s="23"/>
      <c r="E514" s="23"/>
      <c r="F514" s="23"/>
      <c r="G514" s="19"/>
      <c r="H514" s="19"/>
      <c r="I514" s="10"/>
      <c r="J514" s="14"/>
      <c r="K514" s="23"/>
      <c r="L514" s="23"/>
      <c r="M514" s="23"/>
      <c r="N514" s="23"/>
      <c r="O514" s="23"/>
      <c r="P514" s="23"/>
      <c r="Q514" s="14"/>
      <c r="R514" s="14"/>
      <c r="S514" s="23"/>
      <c r="T514" s="23"/>
      <c r="U514" s="23"/>
      <c r="V514" s="23"/>
      <c r="W514" s="23"/>
      <c r="X514" s="23"/>
    </row>
    <row r="515">
      <c r="A515" s="10" t="s">
        <v>1728</v>
      </c>
      <c r="B515" s="10" t="s">
        <v>1729</v>
      </c>
      <c r="C515" s="10" t="s">
        <v>1730</v>
      </c>
      <c r="D515" s="23"/>
      <c r="E515" s="23"/>
      <c r="F515" s="23"/>
      <c r="G515" s="19"/>
      <c r="H515" s="19"/>
      <c r="I515" s="10"/>
      <c r="J515" s="14"/>
      <c r="K515" s="23"/>
      <c r="L515" s="23"/>
      <c r="M515" s="23"/>
      <c r="N515" s="23"/>
      <c r="O515" s="23"/>
      <c r="P515" s="23"/>
      <c r="Q515" s="14"/>
      <c r="R515" s="14"/>
      <c r="S515" s="23"/>
      <c r="T515" s="23"/>
      <c r="U515" s="23"/>
      <c r="V515" s="23"/>
      <c r="W515" s="23"/>
      <c r="X515" s="23"/>
    </row>
    <row r="516">
      <c r="A516" s="21" t="s">
        <v>1731</v>
      </c>
      <c r="B516" s="21" t="s">
        <v>1732</v>
      </c>
      <c r="C516" s="10" t="s">
        <v>1733</v>
      </c>
      <c r="D516" s="23"/>
      <c r="E516" s="23"/>
      <c r="F516" s="23"/>
      <c r="G516" s="19"/>
      <c r="H516" s="19"/>
      <c r="I516" s="10"/>
      <c r="J516" s="14"/>
      <c r="K516" s="23"/>
      <c r="L516" s="23"/>
      <c r="M516" s="23"/>
      <c r="N516" s="23"/>
      <c r="O516" s="23"/>
      <c r="P516" s="23"/>
      <c r="Q516" s="14"/>
      <c r="R516" s="14"/>
      <c r="S516" s="23"/>
      <c r="T516" s="23"/>
      <c r="U516" s="23"/>
      <c r="V516" s="23"/>
      <c r="W516" s="23"/>
      <c r="X516" s="23"/>
    </row>
    <row r="517">
      <c r="A517" s="47" t="s">
        <v>1734</v>
      </c>
      <c r="B517" s="10" t="s">
        <v>1735</v>
      </c>
      <c r="C517" s="10" t="s">
        <v>1736</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1737</v>
      </c>
      <c r="B518" s="10" t="s">
        <v>1738</v>
      </c>
      <c r="C518" s="10" t="s">
        <v>1739</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1740</v>
      </c>
      <c r="B519" s="16" t="s">
        <v>1741</v>
      </c>
      <c r="C519" s="16" t="s">
        <v>1742</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1743</v>
      </c>
      <c r="B520" s="16" t="s">
        <v>1744</v>
      </c>
      <c r="C520" s="16" t="s">
        <v>1745</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1746</v>
      </c>
      <c r="B521" s="16" t="s">
        <v>1747</v>
      </c>
      <c r="C521" s="16" t="s">
        <v>1748</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1749</v>
      </c>
      <c r="B522" s="16" t="s">
        <v>1750</v>
      </c>
      <c r="C522" s="16" t="s">
        <v>1751</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1752</v>
      </c>
      <c r="B523" s="16" t="s">
        <v>1753</v>
      </c>
      <c r="C523" s="16" t="s">
        <v>1754</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1755</v>
      </c>
      <c r="B524" s="16" t="s">
        <v>1756</v>
      </c>
      <c r="C524" s="16" t="s">
        <v>1757</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1758</v>
      </c>
      <c r="B525" s="16" t="s">
        <v>1759</v>
      </c>
      <c r="C525" s="16" t="s">
        <v>1760</v>
      </c>
      <c r="D525" s="23"/>
      <c r="E525" s="23"/>
      <c r="F525" s="23"/>
      <c r="G525" s="19"/>
      <c r="H525" s="19"/>
      <c r="I525" s="10"/>
      <c r="J525" s="14"/>
      <c r="K525" s="23"/>
      <c r="L525" s="23"/>
      <c r="M525" s="23"/>
      <c r="N525" s="23"/>
      <c r="O525" s="23"/>
      <c r="P525" s="23"/>
      <c r="Q525" s="14"/>
      <c r="R525" s="14"/>
      <c r="S525" s="23"/>
      <c r="T525" s="23"/>
      <c r="U525" s="23"/>
      <c r="V525" s="23"/>
      <c r="W525" s="23"/>
      <c r="X525" s="23"/>
    </row>
    <row r="526">
      <c r="A526" s="16" t="s">
        <v>1761</v>
      </c>
      <c r="B526" s="16" t="s">
        <v>1762</v>
      </c>
      <c r="C526" s="16" t="s">
        <v>1763</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1764</v>
      </c>
      <c r="B527" s="10" t="s">
        <v>1765</v>
      </c>
      <c r="C527" s="10" t="s">
        <v>1766</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1767</v>
      </c>
      <c r="B528" s="10" t="s">
        <v>1768</v>
      </c>
      <c r="C528" s="10" t="s">
        <v>1769</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1770</v>
      </c>
      <c r="B529" s="10" t="s">
        <v>1771</v>
      </c>
      <c r="C529" s="10" t="s">
        <v>1772</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1773</v>
      </c>
      <c r="B530" s="16" t="s">
        <v>1774</v>
      </c>
      <c r="C530" s="16" t="s">
        <v>1775</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1776</v>
      </c>
      <c r="B531" s="16" t="s">
        <v>1777</v>
      </c>
      <c r="C531" s="16" t="s">
        <v>1778</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1779</v>
      </c>
      <c r="B532" s="10" t="s">
        <v>1780</v>
      </c>
      <c r="C532" s="10" t="s">
        <v>1781</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1782</v>
      </c>
      <c r="B533" s="10" t="s">
        <v>1783</v>
      </c>
      <c r="C533" s="10" t="s">
        <v>1784</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1785</v>
      </c>
      <c r="B534" s="10" t="s">
        <v>1786</v>
      </c>
      <c r="C534" s="10" t="s">
        <v>1787</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1788</v>
      </c>
      <c r="B535" s="16" t="s">
        <v>1789</v>
      </c>
      <c r="C535" s="16" t="s">
        <v>1790</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1791</v>
      </c>
      <c r="B536" s="10" t="s">
        <v>1792</v>
      </c>
      <c r="C536" s="10" t="s">
        <v>1793</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1794</v>
      </c>
      <c r="B537" s="10" t="s">
        <v>1795</v>
      </c>
      <c r="C537" s="10" t="s">
        <v>1796</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1797</v>
      </c>
      <c r="B538" s="10" t="s">
        <v>1798</v>
      </c>
      <c r="C538" s="10" t="s">
        <v>1799</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1800</v>
      </c>
      <c r="B539" s="16" t="s">
        <v>1801</v>
      </c>
      <c r="C539" s="16" t="s">
        <v>1802</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1803</v>
      </c>
      <c r="B540" s="10" t="s">
        <v>1804</v>
      </c>
      <c r="C540" s="10" t="s">
        <v>1805</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1806</v>
      </c>
      <c r="B541" s="10" t="s">
        <v>1807</v>
      </c>
      <c r="C541" s="10" t="s">
        <v>1808</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1809</v>
      </c>
      <c r="B542" s="10" t="s">
        <v>1810</v>
      </c>
      <c r="C542" s="10" t="s">
        <v>1811</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1812</v>
      </c>
      <c r="B543" s="10" t="s">
        <v>1813</v>
      </c>
      <c r="C543" s="10" t="s">
        <v>1814</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1815</v>
      </c>
      <c r="B544" s="10" t="s">
        <v>1816</v>
      </c>
      <c r="C544" s="10" t="s">
        <v>1817</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1818</v>
      </c>
      <c r="B545" s="16" t="s">
        <v>1819</v>
      </c>
      <c r="C545" s="16" t="s">
        <v>1820</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1821</v>
      </c>
      <c r="B546" s="16" t="s">
        <v>1822</v>
      </c>
      <c r="C546" s="16" t="s">
        <v>1823</v>
      </c>
      <c r="D546" s="23"/>
      <c r="E546" s="23"/>
      <c r="F546" s="23"/>
      <c r="G546" s="19"/>
      <c r="H546" s="19"/>
      <c r="I546" s="10"/>
      <c r="J546" s="14"/>
      <c r="K546" s="23"/>
      <c r="L546" s="23"/>
      <c r="M546" s="23"/>
      <c r="N546" s="23"/>
      <c r="O546" s="23"/>
      <c r="P546" s="23"/>
      <c r="Q546" s="14"/>
      <c r="R546" s="14"/>
      <c r="S546" s="23"/>
      <c r="T546" s="23"/>
      <c r="U546" s="23"/>
      <c r="V546" s="23"/>
      <c r="W546" s="23"/>
      <c r="X546" s="23"/>
    </row>
    <row r="547">
      <c r="A547" s="16" t="s">
        <v>1824</v>
      </c>
      <c r="B547" s="16" t="s">
        <v>1825</v>
      </c>
      <c r="C547" s="16" t="s">
        <v>1826</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1827</v>
      </c>
      <c r="B548" s="10" t="s">
        <v>1828</v>
      </c>
      <c r="C548" s="10" t="s">
        <v>1829</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1830</v>
      </c>
      <c r="B549" s="10" t="s">
        <v>1831</v>
      </c>
      <c r="C549" s="10" t="s">
        <v>1832</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1833</v>
      </c>
      <c r="B550" s="10" t="s">
        <v>1834</v>
      </c>
      <c r="C550" s="10" t="s">
        <v>1835</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1836</v>
      </c>
      <c r="B551" s="10" t="s">
        <v>1837</v>
      </c>
      <c r="C551" s="10" t="s">
        <v>1838</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1839</v>
      </c>
      <c r="B552" s="10" t="s">
        <v>1840</v>
      </c>
      <c r="C552" s="10" t="s">
        <v>1841</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1842</v>
      </c>
      <c r="B553" s="16" t="s">
        <v>1843</v>
      </c>
      <c r="C553" s="16" t="s">
        <v>1844</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1845</v>
      </c>
      <c r="B554" s="16" t="s">
        <v>1846</v>
      </c>
      <c r="C554" s="16" t="s">
        <v>1847</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1848</v>
      </c>
      <c r="B555" s="16" t="s">
        <v>1849</v>
      </c>
      <c r="C555" s="16" t="s">
        <v>1850</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1851</v>
      </c>
      <c r="B556" s="16" t="s">
        <v>1852</v>
      </c>
      <c r="C556" s="16" t="s">
        <v>1853</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1854</v>
      </c>
      <c r="B557" s="16" t="s">
        <v>1855</v>
      </c>
      <c r="C557" s="16" t="s">
        <v>1856</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1857</v>
      </c>
      <c r="B558" s="16" t="s">
        <v>1858</v>
      </c>
      <c r="C558" s="16" t="s">
        <v>1859</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1860</v>
      </c>
      <c r="B559" s="10" t="s">
        <v>1861</v>
      </c>
      <c r="C559" s="10" t="s">
        <v>1862</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1863</v>
      </c>
      <c r="B560" s="16" t="s">
        <v>1864</v>
      </c>
      <c r="C560" s="16" t="s">
        <v>1865</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1866</v>
      </c>
      <c r="B561" s="16" t="s">
        <v>1867</v>
      </c>
      <c r="C561" s="16" t="s">
        <v>1868</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1869</v>
      </c>
      <c r="B562" s="10" t="s">
        <v>1870</v>
      </c>
      <c r="C562" s="10" t="s">
        <v>1871</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1872</v>
      </c>
      <c r="B563" s="16" t="s">
        <v>1873</v>
      </c>
      <c r="C563" s="16" t="s">
        <v>1874</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1875</v>
      </c>
      <c r="B564" s="10" t="s">
        <v>1876</v>
      </c>
      <c r="C564" s="10" t="s">
        <v>1877</v>
      </c>
      <c r="D564" s="23"/>
      <c r="E564" s="23"/>
      <c r="F564" s="23"/>
      <c r="G564" s="19"/>
      <c r="H564" s="19"/>
      <c r="I564" s="10"/>
      <c r="J564" s="14"/>
      <c r="K564" s="23"/>
      <c r="L564" s="23"/>
      <c r="M564" s="23"/>
      <c r="N564" s="23"/>
      <c r="O564" s="23"/>
      <c r="P564" s="23"/>
      <c r="Q564" s="14"/>
      <c r="R564" s="14"/>
      <c r="S564" s="23"/>
      <c r="T564" s="23"/>
      <c r="U564" s="23"/>
      <c r="V564" s="23"/>
      <c r="W564" s="23"/>
      <c r="X564" s="23"/>
    </row>
    <row r="565">
      <c r="A565" s="21" t="s">
        <v>1878</v>
      </c>
      <c r="B565" s="21" t="s">
        <v>1879</v>
      </c>
      <c r="C565" s="10" t="s">
        <v>1880</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1881</v>
      </c>
      <c r="B566" s="10" t="s">
        <v>1882</v>
      </c>
      <c r="C566" s="10" t="s">
        <v>1883</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1884</v>
      </c>
      <c r="B567" s="16" t="s">
        <v>1885</v>
      </c>
      <c r="C567" s="16" t="s">
        <v>1886</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1887</v>
      </c>
      <c r="B568" s="10" t="s">
        <v>1888</v>
      </c>
      <c r="C568" s="10" t="s">
        <v>1889</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1890</v>
      </c>
      <c r="B569" s="16" t="s">
        <v>1891</v>
      </c>
      <c r="C569" s="16" t="s">
        <v>1892</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1893</v>
      </c>
      <c r="B570" s="16" t="s">
        <v>1894</v>
      </c>
      <c r="C570" s="16" t="s">
        <v>1895</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1896</v>
      </c>
      <c r="B571" s="16" t="s">
        <v>1897</v>
      </c>
      <c r="C571" s="16" t="s">
        <v>1898</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1899</v>
      </c>
      <c r="B572" s="16" t="s">
        <v>1900</v>
      </c>
      <c r="C572" s="16" t="s">
        <v>1901</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1902</v>
      </c>
      <c r="B573" s="10" t="s">
        <v>1903</v>
      </c>
      <c r="C573" s="10" t="s">
        <v>1904</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1905</v>
      </c>
      <c r="B574" s="16" t="s">
        <v>1906</v>
      </c>
      <c r="C574" s="16" t="s">
        <v>1907</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1908</v>
      </c>
      <c r="B575" s="16" t="s">
        <v>1909</v>
      </c>
      <c r="C575" s="16" t="s">
        <v>1910</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1911</v>
      </c>
      <c r="B576" s="10" t="s">
        <v>1912</v>
      </c>
      <c r="C576" s="10" t="s">
        <v>1913</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1914</v>
      </c>
      <c r="B577" s="10" t="s">
        <v>1915</v>
      </c>
      <c r="C577" s="10" t="s">
        <v>1916</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1917</v>
      </c>
      <c r="B578" s="10" t="s">
        <v>1918</v>
      </c>
      <c r="C578" s="10" t="s">
        <v>1919</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1920</v>
      </c>
      <c r="B579" s="10" t="s">
        <v>1921</v>
      </c>
      <c r="C579" s="10" t="s">
        <v>1922</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1923</v>
      </c>
      <c r="B580" s="16" t="s">
        <v>1924</v>
      </c>
      <c r="C580" s="16" t="s">
        <v>1925</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1926</v>
      </c>
      <c r="B581" s="16" t="s">
        <v>1927</v>
      </c>
      <c r="C581" s="16" t="s">
        <v>1928</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1929</v>
      </c>
      <c r="B582" s="16" t="s">
        <v>1930</v>
      </c>
      <c r="C582" s="16" t="s">
        <v>1931</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1932</v>
      </c>
      <c r="B583" s="10" t="s">
        <v>1933</v>
      </c>
      <c r="C583" s="10" t="s">
        <v>1934</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1935</v>
      </c>
      <c r="B584" s="16" t="s">
        <v>1936</v>
      </c>
      <c r="C584" s="16" t="s">
        <v>1937</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1938</v>
      </c>
      <c r="B585" s="16" t="s">
        <v>1939</v>
      </c>
      <c r="C585" s="16" t="s">
        <v>1940</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1941</v>
      </c>
      <c r="B586" s="16" t="s">
        <v>1942</v>
      </c>
      <c r="C586" s="16" t="s">
        <v>1943</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1944</v>
      </c>
      <c r="B587" s="16" t="s">
        <v>1945</v>
      </c>
      <c r="C587" s="16" t="s">
        <v>1946</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1947</v>
      </c>
      <c r="B588" s="16" t="s">
        <v>1948</v>
      </c>
      <c r="C588" s="16" t="s">
        <v>1949</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1950</v>
      </c>
      <c r="B589" s="16" t="s">
        <v>1951</v>
      </c>
      <c r="C589" s="16" t="s">
        <v>1952</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1953</v>
      </c>
      <c r="B590" s="16" t="s">
        <v>1954</v>
      </c>
      <c r="C590" s="16" t="s">
        <v>1955</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1956</v>
      </c>
      <c r="B591" s="16" t="s">
        <v>1957</v>
      </c>
      <c r="C591" s="16" t="s">
        <v>1958</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1959</v>
      </c>
      <c r="B592" s="10" t="s">
        <v>1960</v>
      </c>
      <c r="C592" s="10" t="s">
        <v>1961</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1962</v>
      </c>
      <c r="B593" s="16" t="s">
        <v>1963</v>
      </c>
      <c r="C593" s="16" t="s">
        <v>1964</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1965</v>
      </c>
      <c r="B594" s="16" t="s">
        <v>1966</v>
      </c>
      <c r="C594" s="16" t="s">
        <v>1967</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1968</v>
      </c>
      <c r="B595" s="16" t="s">
        <v>1969</v>
      </c>
      <c r="C595" s="16" t="s">
        <v>1970</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1971</v>
      </c>
      <c r="B596" s="16" t="s">
        <v>1972</v>
      </c>
      <c r="C596" s="16" t="s">
        <v>1973</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1974</v>
      </c>
      <c r="B597" s="10" t="s">
        <v>1975</v>
      </c>
      <c r="C597" s="10" t="s">
        <v>1976</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1977</v>
      </c>
      <c r="B598" s="16" t="s">
        <v>1978</v>
      </c>
      <c r="C598" s="16" t="s">
        <v>1979</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1980</v>
      </c>
      <c r="B599" s="10" t="s">
        <v>1981</v>
      </c>
      <c r="C599" s="10" t="s">
        <v>1982</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1983</v>
      </c>
      <c r="B600" s="16" t="s">
        <v>1984</v>
      </c>
      <c r="C600" s="16" t="s">
        <v>1985</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1986</v>
      </c>
      <c r="B601" s="10" t="s">
        <v>1987</v>
      </c>
      <c r="C601" s="10"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1992</v>
      </c>
      <c r="B603" s="16" t="s">
        <v>1993</v>
      </c>
      <c r="C603" s="16"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1995</v>
      </c>
      <c r="B604" s="10" t="s">
        <v>1996</v>
      </c>
      <c r="C604" s="10"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1998</v>
      </c>
      <c r="B605" s="10" t="s">
        <v>1999</v>
      </c>
      <c r="C605" s="10"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2007</v>
      </c>
      <c r="B608" s="16" t="s">
        <v>2008</v>
      </c>
      <c r="C608" s="16"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2010</v>
      </c>
      <c r="B609" s="16" t="s">
        <v>2011</v>
      </c>
      <c r="C609" s="16"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2016</v>
      </c>
      <c r="B611" s="10" t="s">
        <v>2017</v>
      </c>
      <c r="C611" s="10"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2019</v>
      </c>
      <c r="B612" s="10" t="s">
        <v>2020</v>
      </c>
      <c r="C612" s="10"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2031</v>
      </c>
      <c r="B616" s="16" t="s">
        <v>2032</v>
      </c>
      <c r="C616" s="16"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2037</v>
      </c>
      <c r="B618" s="10" t="s">
        <v>2038</v>
      </c>
      <c r="C618" s="10"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6" t="s">
        <v>2046</v>
      </c>
      <c r="B621" s="16" t="s">
        <v>2047</v>
      </c>
      <c r="C621" s="16" t="s">
        <v>2048</v>
      </c>
      <c r="G621" s="8"/>
      <c r="H621" s="8"/>
      <c r="I621" s="8"/>
    </row>
    <row r="622">
      <c r="A622" s="16" t="s">
        <v>2049</v>
      </c>
      <c r="B622" s="16" t="s">
        <v>2050</v>
      </c>
      <c r="C622" s="16" t="s">
        <v>2051</v>
      </c>
      <c r="G622" s="8"/>
      <c r="H622" s="8"/>
      <c r="I622" s="8"/>
    </row>
    <row r="623">
      <c r="A623" s="10" t="s">
        <v>2052</v>
      </c>
      <c r="B623" s="10" t="s">
        <v>2053</v>
      </c>
      <c r="C623" s="10"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6" t="s">
        <v>2082</v>
      </c>
      <c r="B633" s="16" t="s">
        <v>2083</v>
      </c>
      <c r="C633" s="16" t="s">
        <v>2084</v>
      </c>
      <c r="G633" s="8"/>
      <c r="H633" s="8"/>
      <c r="I633" s="8"/>
    </row>
    <row r="634">
      <c r="A634" s="16" t="s">
        <v>2085</v>
      </c>
      <c r="B634" s="16" t="s">
        <v>2086</v>
      </c>
      <c r="C634" s="16" t="s">
        <v>2087</v>
      </c>
      <c r="G634" s="8"/>
      <c r="H634" s="8"/>
      <c r="I634" s="8"/>
    </row>
    <row r="635">
      <c r="A635" s="10" t="s">
        <v>2088</v>
      </c>
      <c r="B635" s="10" t="s">
        <v>2089</v>
      </c>
      <c r="C635" s="10" t="s">
        <v>2090</v>
      </c>
      <c r="G635" s="8"/>
      <c r="H635" s="8"/>
      <c r="I635" s="8"/>
    </row>
    <row r="636">
      <c r="A636" s="10" t="s">
        <v>2091</v>
      </c>
      <c r="B636" s="10" t="s">
        <v>2092</v>
      </c>
      <c r="C636" s="10" t="s">
        <v>2093</v>
      </c>
      <c r="G636" s="8"/>
      <c r="H636" s="8"/>
      <c r="I636" s="8"/>
    </row>
    <row r="637">
      <c r="A637" s="16" t="s">
        <v>2094</v>
      </c>
      <c r="B637" s="16" t="s">
        <v>2095</v>
      </c>
      <c r="C637" s="16" t="s">
        <v>2096</v>
      </c>
      <c r="G637" s="8"/>
      <c r="H637" s="8"/>
      <c r="I637" s="8"/>
    </row>
    <row r="638">
      <c r="A638" s="10" t="s">
        <v>2097</v>
      </c>
      <c r="B638" s="10" t="s">
        <v>2098</v>
      </c>
      <c r="C638" s="10"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6" t="s">
        <v>2106</v>
      </c>
      <c r="B641" s="16" t="s">
        <v>2107</v>
      </c>
      <c r="C641" s="16" t="s">
        <v>2108</v>
      </c>
      <c r="G641" s="8"/>
      <c r="H641" s="8"/>
      <c r="I641" s="8"/>
    </row>
    <row r="642">
      <c r="A642" s="16" t="s">
        <v>2109</v>
      </c>
      <c r="B642" s="16" t="s">
        <v>2110</v>
      </c>
      <c r="C642" s="16" t="s">
        <v>2111</v>
      </c>
      <c r="G642" s="8"/>
      <c r="H642" s="8"/>
      <c r="I642" s="8"/>
    </row>
    <row r="643">
      <c r="A643" s="10" t="s">
        <v>2112</v>
      </c>
      <c r="B643" s="10" t="s">
        <v>2113</v>
      </c>
      <c r="C643" s="10" t="s">
        <v>2114</v>
      </c>
      <c r="G643" s="8"/>
      <c r="H643" s="8"/>
      <c r="I643" s="8"/>
    </row>
    <row r="644">
      <c r="A644" s="10" t="s">
        <v>2115</v>
      </c>
      <c r="B644" s="10" t="s">
        <v>2116</v>
      </c>
      <c r="C644" s="10" t="s">
        <v>2117</v>
      </c>
      <c r="G644" s="8"/>
      <c r="H644" s="8"/>
      <c r="I644" s="8"/>
    </row>
    <row r="645">
      <c r="A645" s="10" t="s">
        <v>2118</v>
      </c>
      <c r="B645" s="10" t="s">
        <v>2119</v>
      </c>
      <c r="C645" s="10"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6" t="s">
        <v>2127</v>
      </c>
      <c r="B648" s="16" t="s">
        <v>2128</v>
      </c>
      <c r="C648" s="16" t="s">
        <v>2129</v>
      </c>
      <c r="G648" s="8"/>
      <c r="H648" s="8"/>
      <c r="I648" s="8"/>
    </row>
    <row r="649">
      <c r="A649" s="16" t="s">
        <v>2130</v>
      </c>
      <c r="B649" s="16" t="s">
        <v>2131</v>
      </c>
      <c r="C649" s="16" t="s">
        <v>2132</v>
      </c>
      <c r="G649" s="8"/>
      <c r="H649" s="8"/>
      <c r="I649" s="8"/>
    </row>
    <row r="650">
      <c r="A650" s="16" t="s">
        <v>2133</v>
      </c>
      <c r="B650" s="16" t="s">
        <v>2134</v>
      </c>
      <c r="C650" s="16" t="s">
        <v>2135</v>
      </c>
      <c r="G650" s="8"/>
      <c r="H650" s="8"/>
      <c r="I650" s="8"/>
    </row>
    <row r="651">
      <c r="A651" s="10" t="s">
        <v>2136</v>
      </c>
      <c r="B651" s="10" t="s">
        <v>2137</v>
      </c>
      <c r="C651" s="10" t="s">
        <v>2138</v>
      </c>
      <c r="G651" s="8"/>
      <c r="H651" s="8"/>
      <c r="I651" s="8"/>
    </row>
    <row r="652">
      <c r="A652" s="10" t="s">
        <v>2139</v>
      </c>
      <c r="B652" s="10" t="s">
        <v>2140</v>
      </c>
      <c r="C652" s="10" t="s">
        <v>2141</v>
      </c>
      <c r="G652" s="8"/>
      <c r="H652" s="8"/>
      <c r="I652" s="8"/>
    </row>
    <row r="653">
      <c r="A653" s="16" t="s">
        <v>2142</v>
      </c>
      <c r="B653" s="16" t="s">
        <v>2143</v>
      </c>
      <c r="C653" s="16" t="s">
        <v>2144</v>
      </c>
      <c r="G653" s="8"/>
      <c r="H653" s="8"/>
      <c r="I653" s="8"/>
    </row>
    <row r="654">
      <c r="A654" s="10" t="s">
        <v>2145</v>
      </c>
      <c r="B654" s="10" t="s">
        <v>2146</v>
      </c>
      <c r="C654" s="10" t="s">
        <v>2147</v>
      </c>
      <c r="G654" s="8"/>
      <c r="H654" s="8"/>
      <c r="I654" s="8"/>
    </row>
    <row r="655">
      <c r="A655" s="16" t="s">
        <v>2148</v>
      </c>
      <c r="B655" s="16" t="s">
        <v>2149</v>
      </c>
      <c r="C655" s="16" t="s">
        <v>2150</v>
      </c>
      <c r="G655" s="8"/>
      <c r="H655" s="8"/>
      <c r="I655" s="8"/>
    </row>
    <row r="656">
      <c r="A656" s="16" t="s">
        <v>2151</v>
      </c>
      <c r="B656" s="16" t="s">
        <v>2152</v>
      </c>
      <c r="C656" s="16" t="s">
        <v>2153</v>
      </c>
      <c r="G656" s="8"/>
      <c r="H656" s="8"/>
      <c r="I656" s="8"/>
    </row>
    <row r="657">
      <c r="A657" s="16" t="s">
        <v>2154</v>
      </c>
      <c r="B657" s="16" t="s">
        <v>2155</v>
      </c>
      <c r="C657" s="16" t="s">
        <v>2156</v>
      </c>
      <c r="G657" s="8"/>
      <c r="H657" s="8"/>
      <c r="I657" s="8"/>
    </row>
    <row r="658">
      <c r="A658" s="10" t="s">
        <v>2157</v>
      </c>
      <c r="B658" s="10" t="s">
        <v>2158</v>
      </c>
      <c r="C658" s="10" t="s">
        <v>2159</v>
      </c>
      <c r="G658" s="8"/>
      <c r="H658" s="8"/>
      <c r="I658" s="8"/>
    </row>
    <row r="659">
      <c r="A659" s="10" t="s">
        <v>2160</v>
      </c>
      <c r="B659" s="10" t="s">
        <v>2161</v>
      </c>
      <c r="C659" s="10" t="s">
        <v>2162</v>
      </c>
      <c r="G659" s="8"/>
      <c r="H659" s="8"/>
      <c r="I659" s="8"/>
    </row>
    <row r="660">
      <c r="A660" s="10" t="s">
        <v>2163</v>
      </c>
      <c r="B660" s="10" t="s">
        <v>2164</v>
      </c>
      <c r="C660" s="10" t="s">
        <v>2165</v>
      </c>
      <c r="G660" s="8"/>
      <c r="H660" s="8"/>
      <c r="I660" s="8"/>
    </row>
    <row r="661">
      <c r="A661" s="16" t="s">
        <v>2166</v>
      </c>
      <c r="B661" s="16" t="s">
        <v>2167</v>
      </c>
      <c r="C661" s="16" t="s">
        <v>2168</v>
      </c>
      <c r="G661" s="8"/>
      <c r="H661" s="8"/>
      <c r="I661" s="8"/>
    </row>
    <row r="662">
      <c r="A662" s="10" t="s">
        <v>2169</v>
      </c>
      <c r="B662" s="10" t="s">
        <v>2170</v>
      </c>
      <c r="C662" s="10" t="s">
        <v>2171</v>
      </c>
      <c r="G662" s="8"/>
      <c r="H662" s="8"/>
      <c r="I662" s="8"/>
    </row>
    <row r="663">
      <c r="A663" s="10" t="s">
        <v>2172</v>
      </c>
      <c r="B663" s="10" t="s">
        <v>2173</v>
      </c>
      <c r="C663" s="10" t="s">
        <v>2174</v>
      </c>
      <c r="G663" s="8"/>
      <c r="H663" s="8"/>
      <c r="I663" s="8"/>
    </row>
    <row r="664">
      <c r="A664" s="10" t="s">
        <v>2175</v>
      </c>
      <c r="B664" s="10" t="s">
        <v>2176</v>
      </c>
      <c r="C664" s="10" t="s">
        <v>2177</v>
      </c>
      <c r="G664" s="8"/>
      <c r="H664" s="8"/>
      <c r="I664" s="8"/>
    </row>
    <row r="665">
      <c r="A665" s="16" t="s">
        <v>2178</v>
      </c>
      <c r="B665" s="16" t="s">
        <v>2179</v>
      </c>
      <c r="C665" s="16" t="s">
        <v>2180</v>
      </c>
      <c r="G665" s="8"/>
      <c r="H665" s="8"/>
      <c r="I665" s="8"/>
    </row>
    <row r="666">
      <c r="A666" s="16" t="s">
        <v>2181</v>
      </c>
      <c r="B666" s="16" t="s">
        <v>2182</v>
      </c>
      <c r="C666" s="16" t="s">
        <v>2183</v>
      </c>
      <c r="G666" s="8"/>
      <c r="H666" s="8"/>
      <c r="I666" s="8"/>
    </row>
    <row r="667">
      <c r="A667" s="16" t="s">
        <v>2184</v>
      </c>
      <c r="B667" s="16" t="s">
        <v>2185</v>
      </c>
      <c r="C667" s="16" t="s">
        <v>2186</v>
      </c>
      <c r="G667" s="8"/>
      <c r="H667" s="8"/>
      <c r="I667" s="8"/>
    </row>
    <row r="668">
      <c r="A668" s="10" t="s">
        <v>2187</v>
      </c>
      <c r="B668" s="10" t="s">
        <v>2188</v>
      </c>
      <c r="C668" s="10" t="s">
        <v>2189</v>
      </c>
      <c r="G668" s="8"/>
      <c r="H668" s="8"/>
      <c r="I668" s="8"/>
    </row>
    <row r="669">
      <c r="A669" s="16" t="s">
        <v>2190</v>
      </c>
      <c r="B669" s="16" t="s">
        <v>2191</v>
      </c>
      <c r="C669" s="16" t="s">
        <v>2192</v>
      </c>
      <c r="G669" s="8"/>
      <c r="H669" s="8"/>
      <c r="I669" s="8"/>
    </row>
    <row r="670">
      <c r="A670" s="10" t="s">
        <v>2193</v>
      </c>
      <c r="B670" s="10" t="s">
        <v>2194</v>
      </c>
      <c r="C670" s="10" t="s">
        <v>2195</v>
      </c>
      <c r="G670" s="8"/>
      <c r="H670" s="8"/>
      <c r="I670" s="8"/>
    </row>
    <row r="671">
      <c r="A671" s="10" t="s">
        <v>2196</v>
      </c>
      <c r="B671" s="10" t="s">
        <v>2197</v>
      </c>
      <c r="C671" s="10" t="s">
        <v>2198</v>
      </c>
      <c r="G671" s="8"/>
      <c r="H671" s="8"/>
      <c r="I671" s="8"/>
    </row>
    <row r="672">
      <c r="A672" s="16" t="s">
        <v>2199</v>
      </c>
      <c r="B672" s="16" t="s">
        <v>2200</v>
      </c>
      <c r="C672" s="16" t="s">
        <v>2201</v>
      </c>
      <c r="G672" s="8"/>
      <c r="H672" s="8"/>
      <c r="I672" s="8"/>
    </row>
    <row r="673">
      <c r="A673" s="10" t="s">
        <v>2202</v>
      </c>
      <c r="B673" s="10" t="s">
        <v>2203</v>
      </c>
      <c r="C673" s="10" t="s">
        <v>2204</v>
      </c>
      <c r="G673" s="8"/>
      <c r="H673" s="8"/>
      <c r="I673" s="8"/>
    </row>
    <row r="674">
      <c r="A674" s="16" t="s">
        <v>2205</v>
      </c>
      <c r="B674" s="16" t="s">
        <v>2206</v>
      </c>
      <c r="C674" s="16" t="s">
        <v>2207</v>
      </c>
      <c r="G674" s="8"/>
      <c r="H674" s="8"/>
      <c r="I674" s="8"/>
    </row>
    <row r="675">
      <c r="A675" s="10" t="s">
        <v>2208</v>
      </c>
      <c r="B675" s="10" t="s">
        <v>2209</v>
      </c>
      <c r="C675" s="10" t="s">
        <v>2210</v>
      </c>
      <c r="G675" s="8"/>
      <c r="H675" s="8"/>
      <c r="I675" s="8"/>
    </row>
    <row r="676">
      <c r="A676" s="10" t="s">
        <v>2211</v>
      </c>
      <c r="B676" s="10" t="s">
        <v>2212</v>
      </c>
      <c r="C676" s="10" t="s">
        <v>2213</v>
      </c>
      <c r="G676" s="8"/>
      <c r="H676" s="8"/>
      <c r="I676" s="8"/>
    </row>
    <row r="677">
      <c r="A677" s="10" t="s">
        <v>2214</v>
      </c>
      <c r="B677" s="10" t="s">
        <v>2215</v>
      </c>
      <c r="C677" s="10" t="s">
        <v>2216</v>
      </c>
      <c r="G677" s="8"/>
      <c r="H677" s="8"/>
      <c r="I677" s="8"/>
    </row>
    <row r="678">
      <c r="A678" s="10" t="s">
        <v>2217</v>
      </c>
      <c r="B678" s="10" t="s">
        <v>2218</v>
      </c>
      <c r="C678" s="10"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6" t="s">
        <v>2238</v>
      </c>
      <c r="B685" s="16" t="s">
        <v>2239</v>
      </c>
      <c r="C685" s="16" t="s">
        <v>2240</v>
      </c>
      <c r="G685" s="8"/>
      <c r="H685" s="8"/>
      <c r="I685" s="8"/>
    </row>
    <row r="686">
      <c r="A686" s="16" t="s">
        <v>2241</v>
      </c>
      <c r="B686" s="16" t="s">
        <v>2242</v>
      </c>
      <c r="C686" s="16" t="s">
        <v>2243</v>
      </c>
      <c r="G686" s="8"/>
      <c r="H686" s="8"/>
      <c r="I686" s="8"/>
    </row>
    <row r="687">
      <c r="A687" s="16" t="s">
        <v>2244</v>
      </c>
      <c r="B687" s="16" t="s">
        <v>2245</v>
      </c>
      <c r="C687" s="16" t="s">
        <v>2246</v>
      </c>
      <c r="G687" s="8"/>
      <c r="H687" s="8"/>
      <c r="I687" s="8"/>
    </row>
    <row r="688">
      <c r="A688" s="10" t="s">
        <v>2247</v>
      </c>
      <c r="B688" s="10" t="s">
        <v>2248</v>
      </c>
      <c r="C688" s="10" t="s">
        <v>2249</v>
      </c>
      <c r="G688" s="8"/>
      <c r="H688" s="8"/>
      <c r="I688" s="8"/>
    </row>
    <row r="689">
      <c r="A689" s="10" t="s">
        <v>2250</v>
      </c>
      <c r="B689" s="10" t="s">
        <v>2251</v>
      </c>
      <c r="C689" s="10" t="s">
        <v>2252</v>
      </c>
      <c r="G689" s="8"/>
      <c r="H689" s="8"/>
      <c r="I689" s="8"/>
    </row>
    <row r="690">
      <c r="A690" s="16" t="s">
        <v>2253</v>
      </c>
      <c r="B690" s="16" t="s">
        <v>2254</v>
      </c>
      <c r="C690" s="16" t="s">
        <v>2255</v>
      </c>
      <c r="G690" s="8"/>
      <c r="H690" s="8"/>
      <c r="I690" s="8"/>
    </row>
    <row r="691">
      <c r="A691" s="16" t="s">
        <v>2256</v>
      </c>
      <c r="B691" s="16" t="s">
        <v>2257</v>
      </c>
      <c r="C691" s="16" t="s">
        <v>2258</v>
      </c>
      <c r="G691" s="8"/>
      <c r="H691" s="8"/>
      <c r="I691" s="8"/>
    </row>
    <row r="692">
      <c r="A692" s="10" t="s">
        <v>2259</v>
      </c>
      <c r="B692" s="10" t="s">
        <v>2260</v>
      </c>
      <c r="C692" s="10" t="s">
        <v>2261</v>
      </c>
      <c r="G692" s="8"/>
      <c r="H692" s="8"/>
      <c r="I692" s="8"/>
    </row>
    <row r="693">
      <c r="A693" s="10" t="s">
        <v>2262</v>
      </c>
      <c r="B693" s="10" t="s">
        <v>2263</v>
      </c>
      <c r="C693" s="10" t="s">
        <v>2264</v>
      </c>
      <c r="G693" s="8"/>
      <c r="H693" s="8"/>
      <c r="I693" s="8"/>
    </row>
    <row r="694">
      <c r="A694" s="16" t="s">
        <v>2265</v>
      </c>
      <c r="B694" s="16" t="s">
        <v>2266</v>
      </c>
      <c r="C694" s="16" t="s">
        <v>2267</v>
      </c>
      <c r="G694" s="8"/>
      <c r="H694" s="8"/>
      <c r="I694" s="8"/>
    </row>
    <row r="695">
      <c r="A695" s="16" t="s">
        <v>2268</v>
      </c>
      <c r="B695" s="16" t="s">
        <v>2269</v>
      </c>
      <c r="C695" s="16" t="s">
        <v>2270</v>
      </c>
      <c r="G695" s="8"/>
      <c r="H695" s="8"/>
      <c r="I695" s="8"/>
    </row>
    <row r="696">
      <c r="A696" s="16" t="s">
        <v>2271</v>
      </c>
      <c r="B696" s="16" t="s">
        <v>2272</v>
      </c>
      <c r="C696" s="16" t="s">
        <v>2273</v>
      </c>
      <c r="G696" s="8"/>
      <c r="H696" s="8"/>
      <c r="I696" s="8"/>
    </row>
    <row r="697">
      <c r="A697" s="16" t="s">
        <v>2274</v>
      </c>
      <c r="B697" s="16" t="s">
        <v>2275</v>
      </c>
      <c r="C697" s="16" t="s">
        <v>2276</v>
      </c>
      <c r="G697" s="8"/>
      <c r="H697" s="8"/>
      <c r="I697" s="8"/>
    </row>
    <row r="698">
      <c r="A698" s="10" t="s">
        <v>2277</v>
      </c>
      <c r="B698" s="10" t="s">
        <v>2278</v>
      </c>
      <c r="C698" s="10" t="s">
        <v>2279</v>
      </c>
      <c r="G698" s="8"/>
      <c r="H698" s="8"/>
      <c r="I698" s="8"/>
    </row>
    <row r="699">
      <c r="A699" s="10" t="s">
        <v>2280</v>
      </c>
      <c r="B699" s="10" t="s">
        <v>2281</v>
      </c>
      <c r="C699" s="10" t="s">
        <v>2282</v>
      </c>
      <c r="G699" s="8"/>
      <c r="H699" s="8"/>
      <c r="I699" s="8"/>
    </row>
    <row r="700">
      <c r="A700" s="16" t="s">
        <v>2283</v>
      </c>
      <c r="B700" s="16" t="s">
        <v>2284</v>
      </c>
      <c r="C700" s="16" t="s">
        <v>2285</v>
      </c>
      <c r="G700" s="8"/>
      <c r="H700" s="8"/>
      <c r="I700" s="8"/>
    </row>
    <row r="701">
      <c r="A701" s="10" t="s">
        <v>2286</v>
      </c>
      <c r="B701" s="10" t="s">
        <v>2287</v>
      </c>
      <c r="C701" s="10" t="s">
        <v>2288</v>
      </c>
      <c r="G701" s="8"/>
      <c r="H701" s="8"/>
      <c r="I701" s="8"/>
    </row>
    <row r="702">
      <c r="A702" s="16" t="s">
        <v>2289</v>
      </c>
      <c r="B702" s="16" t="s">
        <v>2290</v>
      </c>
      <c r="C702" s="16"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0" t="s">
        <v>2301</v>
      </c>
      <c r="B706" s="10" t="s">
        <v>2302</v>
      </c>
      <c r="C706" s="10" t="s">
        <v>2303</v>
      </c>
      <c r="G706" s="8"/>
      <c r="H706" s="8"/>
      <c r="I706" s="8"/>
    </row>
    <row r="707">
      <c r="A707" s="10" t="s">
        <v>2304</v>
      </c>
      <c r="B707" s="10" t="s">
        <v>2305</v>
      </c>
      <c r="C707" s="10" t="s">
        <v>2306</v>
      </c>
      <c r="G707" s="8"/>
      <c r="H707" s="8"/>
      <c r="I707" s="8"/>
    </row>
    <row r="708">
      <c r="A708" s="16" t="s">
        <v>2307</v>
      </c>
      <c r="B708" s="16" t="s">
        <v>2308</v>
      </c>
      <c r="C708" s="16" t="s">
        <v>2309</v>
      </c>
      <c r="G708" s="8"/>
      <c r="H708" s="8"/>
      <c r="I708" s="8"/>
    </row>
    <row r="709">
      <c r="A709" s="16" t="s">
        <v>2310</v>
      </c>
      <c r="B709" s="16" t="s">
        <v>2311</v>
      </c>
      <c r="C709" s="16" t="s">
        <v>2312</v>
      </c>
      <c r="G709" s="8"/>
      <c r="H709" s="8"/>
      <c r="I709" s="8"/>
    </row>
    <row r="710">
      <c r="A710" s="21" t="s">
        <v>2313</v>
      </c>
      <c r="B710" s="21" t="s">
        <v>2314</v>
      </c>
      <c r="C710" s="10" t="s">
        <v>2315</v>
      </c>
      <c r="G710" s="8"/>
      <c r="H710" s="8"/>
      <c r="I710" s="8"/>
    </row>
    <row r="711">
      <c r="A711" s="16" t="s">
        <v>2316</v>
      </c>
      <c r="B711" s="16" t="s">
        <v>2317</v>
      </c>
      <c r="C711" s="16" t="s">
        <v>2318</v>
      </c>
      <c r="G711" s="8"/>
      <c r="H711" s="8"/>
      <c r="I711" s="8"/>
    </row>
    <row r="712">
      <c r="A712" s="16" t="s">
        <v>2319</v>
      </c>
      <c r="B712" s="16" t="s">
        <v>2320</v>
      </c>
      <c r="C712" s="16" t="s">
        <v>2321</v>
      </c>
      <c r="G712" s="8"/>
      <c r="H712" s="8"/>
      <c r="I712" s="8"/>
    </row>
    <row r="713">
      <c r="A713" s="10" t="s">
        <v>2322</v>
      </c>
      <c r="B713" s="10" t="s">
        <v>2323</v>
      </c>
      <c r="C713" s="10" t="s">
        <v>2324</v>
      </c>
      <c r="G713" s="8"/>
      <c r="H713" s="8"/>
      <c r="I713" s="8"/>
    </row>
    <row r="714">
      <c r="A714" s="10" t="s">
        <v>2325</v>
      </c>
      <c r="B714" s="10" t="s">
        <v>2326</v>
      </c>
      <c r="C714" s="10" t="s">
        <v>2327</v>
      </c>
      <c r="G714" s="8"/>
      <c r="H714" s="8"/>
      <c r="I714" s="8"/>
    </row>
    <row r="715">
      <c r="A715" s="16" t="s">
        <v>2328</v>
      </c>
      <c r="B715" s="16" t="s">
        <v>2329</v>
      </c>
      <c r="C715" s="16" t="s">
        <v>2330</v>
      </c>
      <c r="G715" s="8"/>
      <c r="H715" s="8"/>
      <c r="I715" s="8"/>
    </row>
    <row r="716">
      <c r="A716" s="16" t="s">
        <v>2331</v>
      </c>
      <c r="B716" s="16" t="s">
        <v>2332</v>
      </c>
      <c r="C716" s="16" t="s">
        <v>2333</v>
      </c>
      <c r="G716" s="8"/>
      <c r="H716" s="8"/>
      <c r="I716" s="8"/>
    </row>
    <row r="717">
      <c r="A717" s="10" t="s">
        <v>2334</v>
      </c>
      <c r="B717" s="10" t="s">
        <v>2335</v>
      </c>
      <c r="C717" s="10" t="s">
        <v>2336</v>
      </c>
      <c r="G717" s="8"/>
      <c r="H717" s="8"/>
      <c r="I717" s="8"/>
    </row>
    <row r="718">
      <c r="A718" s="16" t="s">
        <v>2337</v>
      </c>
      <c r="B718" s="16" t="s">
        <v>2338</v>
      </c>
      <c r="C718" s="16" t="s">
        <v>2339</v>
      </c>
      <c r="G718" s="8"/>
      <c r="H718" s="8"/>
      <c r="I718" s="8"/>
    </row>
    <row r="719">
      <c r="A719" s="16" t="s">
        <v>2340</v>
      </c>
      <c r="B719" s="16" t="s">
        <v>2341</v>
      </c>
      <c r="C719" s="16" t="s">
        <v>2342</v>
      </c>
      <c r="G719" s="8"/>
      <c r="H719" s="8"/>
      <c r="I719" s="8"/>
    </row>
    <row r="720">
      <c r="A720" s="10" t="s">
        <v>2343</v>
      </c>
      <c r="B720" s="10" t="s">
        <v>2344</v>
      </c>
      <c r="C720" s="10"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6" t="s">
        <v>2352</v>
      </c>
      <c r="B723" s="16" t="s">
        <v>2353</v>
      </c>
      <c r="C723" s="16" t="s">
        <v>2354</v>
      </c>
      <c r="G723" s="8"/>
      <c r="H723" s="8"/>
      <c r="I723" s="8"/>
    </row>
    <row r="724">
      <c r="A724" s="16" t="s">
        <v>2355</v>
      </c>
      <c r="B724" s="16" t="s">
        <v>2356</v>
      </c>
      <c r="C724" s="16" t="s">
        <v>2357</v>
      </c>
      <c r="G724" s="8"/>
      <c r="H724" s="8"/>
      <c r="I724" s="8"/>
    </row>
    <row r="725">
      <c r="A725" s="16" t="s">
        <v>2358</v>
      </c>
      <c r="B725" s="16" t="s">
        <v>2359</v>
      </c>
      <c r="C725" s="16" t="s">
        <v>2360</v>
      </c>
      <c r="G725" s="8"/>
      <c r="H725" s="8"/>
      <c r="I725" s="8"/>
    </row>
    <row r="726">
      <c r="A726" s="10" t="s">
        <v>2361</v>
      </c>
      <c r="B726" s="10" t="s">
        <v>2362</v>
      </c>
      <c r="C726" s="10" t="s">
        <v>2363</v>
      </c>
      <c r="G726" s="8"/>
      <c r="H726" s="8"/>
      <c r="I726" s="8"/>
    </row>
    <row r="727">
      <c r="A727" s="16" t="s">
        <v>2364</v>
      </c>
      <c r="B727" s="16" t="s">
        <v>2365</v>
      </c>
      <c r="C727" s="16" t="s">
        <v>2366</v>
      </c>
      <c r="G727" s="8"/>
      <c r="H727" s="8"/>
      <c r="I727" s="8"/>
    </row>
    <row r="728">
      <c r="A728" s="10" t="s">
        <v>2367</v>
      </c>
      <c r="B728" s="10" t="s">
        <v>2368</v>
      </c>
      <c r="C728" s="10" t="s">
        <v>2369</v>
      </c>
      <c r="G728" s="8"/>
      <c r="H728" s="8"/>
      <c r="I728" s="8"/>
    </row>
    <row r="729">
      <c r="A729" s="16" t="s">
        <v>2370</v>
      </c>
      <c r="B729" s="16" t="s">
        <v>2371</v>
      </c>
      <c r="C729" s="16" t="s">
        <v>2372</v>
      </c>
      <c r="G729" s="8"/>
      <c r="H729" s="8"/>
      <c r="I729" s="8"/>
    </row>
    <row r="730">
      <c r="A730" s="16" t="s">
        <v>2373</v>
      </c>
      <c r="B730" s="16" t="s">
        <v>2374</v>
      </c>
      <c r="C730" s="16" t="s">
        <v>2375</v>
      </c>
      <c r="G730" s="8"/>
      <c r="H730" s="8"/>
      <c r="I730" s="8"/>
    </row>
    <row r="731">
      <c r="A731" s="10" t="s">
        <v>2376</v>
      </c>
      <c r="B731" s="10" t="s">
        <v>2377</v>
      </c>
      <c r="C731" s="10" t="s">
        <v>2378</v>
      </c>
      <c r="G731" s="8"/>
      <c r="H731" s="8"/>
      <c r="I731" s="8"/>
    </row>
    <row r="732">
      <c r="A732" s="10" t="s">
        <v>2379</v>
      </c>
      <c r="B732" s="10" t="s">
        <v>2380</v>
      </c>
      <c r="C732" s="10" t="s">
        <v>2381</v>
      </c>
      <c r="G732" s="8"/>
      <c r="H732" s="8"/>
      <c r="I732" s="8"/>
    </row>
    <row r="733">
      <c r="A733" s="10" t="s">
        <v>2382</v>
      </c>
      <c r="B733" s="10" t="s">
        <v>2383</v>
      </c>
      <c r="C733" s="10" t="s">
        <v>2384</v>
      </c>
      <c r="G733" s="8"/>
      <c r="H733" s="8"/>
      <c r="I733" s="8"/>
    </row>
    <row r="734">
      <c r="A734" s="16" t="s">
        <v>2385</v>
      </c>
      <c r="B734" s="16" t="s">
        <v>2386</v>
      </c>
      <c r="C734" s="16" t="s">
        <v>2387</v>
      </c>
      <c r="G734" s="8"/>
      <c r="H734" s="8"/>
      <c r="I734" s="8"/>
    </row>
    <row r="735">
      <c r="A735" s="16" t="s">
        <v>2388</v>
      </c>
      <c r="B735" s="16" t="s">
        <v>2389</v>
      </c>
      <c r="C735" s="16" t="s">
        <v>2390</v>
      </c>
      <c r="G735" s="8"/>
      <c r="H735" s="8"/>
      <c r="I735" s="8"/>
    </row>
    <row r="736">
      <c r="A736" s="16" t="s">
        <v>2391</v>
      </c>
      <c r="B736" s="16" t="s">
        <v>2392</v>
      </c>
      <c r="C736" s="16" t="s">
        <v>2393</v>
      </c>
      <c r="G736" s="8"/>
      <c r="H736" s="8"/>
      <c r="I736" s="8"/>
    </row>
    <row r="737">
      <c r="A737" s="10" t="s">
        <v>2394</v>
      </c>
      <c r="B737" s="10" t="s">
        <v>2395</v>
      </c>
      <c r="C737" s="10" t="s">
        <v>2396</v>
      </c>
      <c r="G737" s="8"/>
      <c r="H737" s="8"/>
      <c r="I737" s="8"/>
    </row>
    <row r="738">
      <c r="A738" s="16" t="s">
        <v>2397</v>
      </c>
      <c r="B738" s="16" t="s">
        <v>2398</v>
      </c>
      <c r="C738" s="16" t="s">
        <v>2399</v>
      </c>
      <c r="G738" s="8"/>
      <c r="H738" s="8"/>
      <c r="I738" s="8"/>
    </row>
    <row r="739">
      <c r="A739" s="10" t="s">
        <v>2400</v>
      </c>
      <c r="B739" s="10" t="s">
        <v>2401</v>
      </c>
      <c r="C739" s="10" t="s">
        <v>2402</v>
      </c>
      <c r="G739" s="8"/>
      <c r="H739" s="8"/>
      <c r="I739" s="8"/>
    </row>
    <row r="740">
      <c r="A740" s="10" t="s">
        <v>2403</v>
      </c>
      <c r="B740" s="10" t="s">
        <v>2404</v>
      </c>
      <c r="C740" s="10" t="s">
        <v>2405</v>
      </c>
      <c r="G740" s="8"/>
      <c r="H740" s="8"/>
      <c r="I740" s="8"/>
    </row>
    <row r="741">
      <c r="A741" s="10" t="s">
        <v>2406</v>
      </c>
      <c r="B741" s="10" t="s">
        <v>2407</v>
      </c>
      <c r="C741" s="10" t="s">
        <v>2408</v>
      </c>
      <c r="G741" s="8"/>
      <c r="H741" s="8"/>
      <c r="I741" s="8"/>
    </row>
    <row r="742">
      <c r="A742" s="16" t="s">
        <v>2409</v>
      </c>
      <c r="B742" s="16" t="s">
        <v>2410</v>
      </c>
      <c r="C742" s="16" t="s">
        <v>2411</v>
      </c>
      <c r="G742" s="8"/>
      <c r="H742" s="8"/>
      <c r="I742" s="8"/>
    </row>
    <row r="743">
      <c r="A743" s="10" t="s">
        <v>2412</v>
      </c>
      <c r="B743" s="10"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6" t="s">
        <v>2424</v>
      </c>
      <c r="B747" s="16" t="s">
        <v>2425</v>
      </c>
      <c r="C747" s="16" t="s">
        <v>2426</v>
      </c>
      <c r="G747" s="8"/>
      <c r="H747" s="8"/>
      <c r="I747" s="8"/>
    </row>
    <row r="748">
      <c r="A748" s="16" t="s">
        <v>2427</v>
      </c>
      <c r="B748" s="16" t="s">
        <v>2428</v>
      </c>
      <c r="C748" s="16" t="s">
        <v>2429</v>
      </c>
      <c r="G748" s="8"/>
      <c r="H748" s="8"/>
      <c r="I748" s="8"/>
    </row>
    <row r="749">
      <c r="A749" s="10" t="s">
        <v>2430</v>
      </c>
      <c r="B749" s="10" t="s">
        <v>2431</v>
      </c>
      <c r="C749" s="10" t="s">
        <v>2432</v>
      </c>
      <c r="G749" s="8"/>
      <c r="H749" s="8"/>
      <c r="I749" s="8"/>
    </row>
    <row r="750">
      <c r="A750" s="16" t="s">
        <v>2433</v>
      </c>
      <c r="B750" s="16" t="s">
        <v>2434</v>
      </c>
      <c r="C750" s="16" t="s">
        <v>2435</v>
      </c>
      <c r="G750" s="8"/>
      <c r="H750" s="8"/>
      <c r="I750" s="8"/>
    </row>
    <row r="751">
      <c r="A751" s="16" t="s">
        <v>2436</v>
      </c>
      <c r="B751" s="16" t="s">
        <v>2437</v>
      </c>
      <c r="C751" s="16" t="s">
        <v>2438</v>
      </c>
      <c r="G751" s="8"/>
      <c r="H751" s="8"/>
      <c r="I751" s="8"/>
    </row>
    <row r="752">
      <c r="A752" s="16" t="s">
        <v>2439</v>
      </c>
      <c r="B752" s="16" t="s">
        <v>2440</v>
      </c>
      <c r="C752" s="16" t="s">
        <v>2441</v>
      </c>
      <c r="G752" s="8"/>
      <c r="H752" s="8"/>
      <c r="I752" s="8"/>
    </row>
    <row r="753">
      <c r="A753" s="10" t="s">
        <v>2442</v>
      </c>
      <c r="B753" s="10" t="s">
        <v>2443</v>
      </c>
      <c r="C753" s="10"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10" t="s">
        <v>2463</v>
      </c>
      <c r="B760" s="10" t="s">
        <v>2464</v>
      </c>
      <c r="C760" s="10" t="s">
        <v>2465</v>
      </c>
      <c r="G760" s="8"/>
      <c r="H760" s="8"/>
      <c r="I760" s="8"/>
    </row>
    <row r="761">
      <c r="A761" s="21" t="s">
        <v>2466</v>
      </c>
      <c r="B761" s="21" t="s">
        <v>2467</v>
      </c>
      <c r="C761" s="48"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0" t="s">
        <v>2475</v>
      </c>
      <c r="B764" s="10" t="s">
        <v>2476</v>
      </c>
      <c r="C764" s="10" t="s">
        <v>2477</v>
      </c>
      <c r="G764" s="8"/>
      <c r="H764" s="8"/>
      <c r="I764" s="8"/>
    </row>
    <row r="765">
      <c r="A765" s="16" t="s">
        <v>2478</v>
      </c>
      <c r="B765" s="16" t="s">
        <v>2479</v>
      </c>
      <c r="C765" s="16" t="s">
        <v>2480</v>
      </c>
      <c r="G765" s="8"/>
      <c r="H765" s="8"/>
      <c r="I765" s="8"/>
    </row>
    <row r="766">
      <c r="A766" s="16" t="s">
        <v>2481</v>
      </c>
      <c r="B766" s="16" t="s">
        <v>2482</v>
      </c>
      <c r="C766" s="16" t="s">
        <v>2483</v>
      </c>
      <c r="G766" s="8"/>
      <c r="H766" s="8"/>
      <c r="I766" s="8"/>
    </row>
    <row r="767">
      <c r="A767" s="10" t="s">
        <v>2484</v>
      </c>
      <c r="B767" s="10" t="s">
        <v>2485</v>
      </c>
      <c r="C767" s="10" t="s">
        <v>2486</v>
      </c>
      <c r="G767" s="8"/>
      <c r="H767" s="8"/>
      <c r="I767" s="8"/>
    </row>
    <row r="768">
      <c r="A768" s="16" t="s">
        <v>2487</v>
      </c>
      <c r="B768" s="16" t="s">
        <v>2488</v>
      </c>
      <c r="C768" s="16" t="s">
        <v>2489</v>
      </c>
      <c r="G768" s="8"/>
      <c r="H768" s="8"/>
      <c r="I768" s="8"/>
    </row>
    <row r="769">
      <c r="A769" s="16" t="s">
        <v>2490</v>
      </c>
      <c r="B769" s="16" t="s">
        <v>2491</v>
      </c>
      <c r="C769" s="16" t="s">
        <v>2492</v>
      </c>
      <c r="G769" s="8"/>
      <c r="H769" s="8"/>
      <c r="I769" s="8"/>
    </row>
    <row r="770">
      <c r="A770" s="10" t="s">
        <v>2493</v>
      </c>
      <c r="B770" s="10" t="s">
        <v>2494</v>
      </c>
      <c r="C770" s="10" t="s">
        <v>2495</v>
      </c>
      <c r="G770" s="8"/>
      <c r="H770" s="8"/>
      <c r="I770" s="8"/>
    </row>
    <row r="771">
      <c r="A771" s="10" t="s">
        <v>2496</v>
      </c>
      <c r="B771" s="10" t="s">
        <v>2497</v>
      </c>
      <c r="C771" s="10" t="s">
        <v>2498</v>
      </c>
      <c r="G771" s="8"/>
      <c r="H771" s="8"/>
      <c r="I771" s="8"/>
    </row>
    <row r="772">
      <c r="A772" s="16" t="s">
        <v>2499</v>
      </c>
      <c r="B772" s="16" t="s">
        <v>2500</v>
      </c>
      <c r="C772" s="16" t="s">
        <v>2501</v>
      </c>
      <c r="G772" s="8"/>
      <c r="H772" s="8"/>
      <c r="I772" s="8"/>
    </row>
    <row r="773">
      <c r="A773" s="16" t="s">
        <v>2502</v>
      </c>
      <c r="B773" s="16" t="s">
        <v>2503</v>
      </c>
      <c r="C773" s="16" t="s">
        <v>2504</v>
      </c>
      <c r="G773" s="8"/>
      <c r="H773" s="8"/>
      <c r="I773" s="8"/>
    </row>
    <row r="774">
      <c r="A774" s="10" t="s">
        <v>2505</v>
      </c>
      <c r="B774" s="10" t="s">
        <v>2506</v>
      </c>
      <c r="C774" s="10" t="s">
        <v>2507</v>
      </c>
      <c r="G774" s="8"/>
      <c r="H774" s="8"/>
      <c r="I774" s="8"/>
    </row>
    <row r="775">
      <c r="A775" s="10" t="s">
        <v>2508</v>
      </c>
      <c r="B775" s="10" t="s">
        <v>2509</v>
      </c>
      <c r="C775" s="10" t="s">
        <v>2510</v>
      </c>
      <c r="G775" s="8"/>
      <c r="H775" s="8"/>
      <c r="I775" s="8"/>
    </row>
    <row r="776">
      <c r="A776" s="10" t="s">
        <v>2511</v>
      </c>
      <c r="B776" s="10" t="s">
        <v>2512</v>
      </c>
      <c r="C776" s="10"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6" t="s">
        <v>2523</v>
      </c>
      <c r="B780" s="16" t="s">
        <v>2524</v>
      </c>
      <c r="C780" s="16" t="s">
        <v>2525</v>
      </c>
      <c r="G780" s="8"/>
      <c r="H780" s="8"/>
      <c r="I780" s="8"/>
    </row>
    <row r="781">
      <c r="A781" s="10" t="s">
        <v>2526</v>
      </c>
      <c r="B781" s="10" t="s">
        <v>2527</v>
      </c>
      <c r="C781" s="10" t="s">
        <v>2528</v>
      </c>
      <c r="G781" s="8"/>
      <c r="H781" s="8"/>
      <c r="I781" s="8"/>
    </row>
    <row r="782">
      <c r="A782" s="16" t="s">
        <v>2529</v>
      </c>
      <c r="B782" s="10" t="s">
        <v>2530</v>
      </c>
      <c r="C782" s="16" t="s">
        <v>2531</v>
      </c>
      <c r="G782" s="8"/>
      <c r="H782" s="8"/>
      <c r="I782" s="8"/>
    </row>
    <row r="783">
      <c r="A783" s="10" t="s">
        <v>2532</v>
      </c>
      <c r="B783" s="10" t="s">
        <v>2533</v>
      </c>
      <c r="C783" s="10" t="s">
        <v>2534</v>
      </c>
      <c r="G783" s="8"/>
      <c r="H783" s="8"/>
      <c r="I783" s="8"/>
    </row>
    <row r="784">
      <c r="A784" s="16" t="s">
        <v>2535</v>
      </c>
      <c r="B784" s="16" t="s">
        <v>2536</v>
      </c>
      <c r="C784" s="16" t="s">
        <v>2537</v>
      </c>
      <c r="G784" s="8"/>
      <c r="H784" s="8"/>
      <c r="I784" s="8"/>
    </row>
    <row r="785">
      <c r="A785" s="10" t="s">
        <v>2538</v>
      </c>
      <c r="B785" s="16" t="s">
        <v>2539</v>
      </c>
      <c r="C785" s="10" t="s">
        <v>2540</v>
      </c>
      <c r="G785" s="8"/>
      <c r="H785" s="8"/>
      <c r="I785" s="8"/>
    </row>
    <row r="786">
      <c r="A786" s="16" t="s">
        <v>2541</v>
      </c>
      <c r="B786" s="16" t="s">
        <v>2542</v>
      </c>
      <c r="C786" s="16" t="s">
        <v>2543</v>
      </c>
      <c r="G786" s="8"/>
      <c r="H786" s="8"/>
      <c r="I786" s="8"/>
    </row>
    <row r="787">
      <c r="A787" s="16" t="s">
        <v>2544</v>
      </c>
      <c r="B787" s="16" t="s">
        <v>2545</v>
      </c>
      <c r="C787" s="16"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10" t="s">
        <v>2556</v>
      </c>
      <c r="B791" s="10" t="s">
        <v>2557</v>
      </c>
      <c r="C791" s="10" t="s">
        <v>2558</v>
      </c>
      <c r="G791" s="8"/>
      <c r="H791" s="8"/>
      <c r="I791" s="8"/>
    </row>
    <row r="792">
      <c r="A792" s="21" t="s">
        <v>2559</v>
      </c>
      <c r="B792" s="21" t="s">
        <v>2560</v>
      </c>
      <c r="C792" s="10" t="s">
        <v>2561</v>
      </c>
      <c r="G792" s="8"/>
      <c r="H792" s="8"/>
      <c r="I792" s="8"/>
    </row>
    <row r="793">
      <c r="A793" s="10" t="s">
        <v>2562</v>
      </c>
      <c r="B793" s="10" t="s">
        <v>2563</v>
      </c>
      <c r="C793" s="10" t="s">
        <v>2564</v>
      </c>
      <c r="G793" s="8"/>
      <c r="H793" s="8"/>
      <c r="I793" s="8"/>
    </row>
    <row r="794">
      <c r="A794" s="10" t="s">
        <v>2565</v>
      </c>
      <c r="B794" s="10" t="s">
        <v>2566</v>
      </c>
      <c r="C794" s="10" t="s">
        <v>2567</v>
      </c>
      <c r="G794" s="8"/>
      <c r="H794" s="8"/>
      <c r="I794" s="8"/>
    </row>
    <row r="795">
      <c r="A795" s="10" t="s">
        <v>2568</v>
      </c>
      <c r="B795" s="10" t="s">
        <v>2569</v>
      </c>
      <c r="C795" s="10"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0" t="s">
        <v>2580</v>
      </c>
      <c r="B799" s="10" t="s">
        <v>2581</v>
      </c>
      <c r="C799" s="10" t="s">
        <v>2582</v>
      </c>
      <c r="G799" s="8"/>
      <c r="H799" s="8"/>
      <c r="I799" s="8"/>
    </row>
    <row r="800">
      <c r="A800" s="16" t="s">
        <v>2583</v>
      </c>
      <c r="B800" s="10" t="s">
        <v>2584</v>
      </c>
      <c r="C800" s="10" t="s">
        <v>2585</v>
      </c>
      <c r="G800" s="8"/>
      <c r="H800" s="8"/>
      <c r="I800" s="8"/>
    </row>
    <row r="801">
      <c r="A801" s="16" t="s">
        <v>2586</v>
      </c>
      <c r="B801" s="16" t="s">
        <v>2587</v>
      </c>
      <c r="C801" s="16"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0" t="s">
        <v>2616</v>
      </c>
      <c r="B811" s="10" t="s">
        <v>2617</v>
      </c>
      <c r="C811" s="10"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0" t="s">
        <v>2652</v>
      </c>
      <c r="B823" s="10" t="s">
        <v>2653</v>
      </c>
      <c r="C823" s="10" t="s">
        <v>2654</v>
      </c>
      <c r="G823" s="8"/>
      <c r="H823" s="8"/>
      <c r="I823" s="8"/>
    </row>
    <row r="824">
      <c r="A824" s="16" t="s">
        <v>2655</v>
      </c>
      <c r="B824" s="16" t="s">
        <v>2656</v>
      </c>
      <c r="C824" s="16" t="s">
        <v>2657</v>
      </c>
      <c r="G824" s="8"/>
      <c r="H824" s="8"/>
      <c r="I824" s="8"/>
    </row>
    <row r="825">
      <c r="A825" s="10" t="s">
        <v>2658</v>
      </c>
      <c r="B825" s="10" t="s">
        <v>2659</v>
      </c>
      <c r="C825" s="10"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6" t="s">
        <v>2667</v>
      </c>
      <c r="B828" s="16" t="s">
        <v>2668</v>
      </c>
      <c r="C828" s="16" t="s">
        <v>2669</v>
      </c>
      <c r="G828" s="8"/>
      <c r="H828" s="8"/>
      <c r="I828" s="8"/>
    </row>
    <row r="829">
      <c r="A829" s="16" t="s">
        <v>2670</v>
      </c>
      <c r="B829" s="16" t="s">
        <v>2670</v>
      </c>
      <c r="C829" s="16"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6" t="s">
        <v>2684</v>
      </c>
      <c r="B834" s="16" t="s">
        <v>2685</v>
      </c>
      <c r="C834" s="16" t="s">
        <v>2686</v>
      </c>
      <c r="G834" s="8"/>
      <c r="H834" s="8"/>
      <c r="I834" s="8"/>
    </row>
    <row r="835">
      <c r="A835" s="10" t="s">
        <v>2687</v>
      </c>
      <c r="B835" s="10" t="s">
        <v>2688</v>
      </c>
      <c r="C835" s="10" t="s">
        <v>2689</v>
      </c>
      <c r="G835" s="8"/>
      <c r="H835" s="8"/>
      <c r="I835" s="8"/>
    </row>
    <row r="836">
      <c r="A836" s="16" t="s">
        <v>2690</v>
      </c>
      <c r="B836" s="16" t="s">
        <v>2691</v>
      </c>
      <c r="C836" s="16" t="s">
        <v>2692</v>
      </c>
      <c r="G836" s="8"/>
      <c r="H836" s="8"/>
      <c r="I836" s="8"/>
    </row>
    <row r="837">
      <c r="A837" s="10" t="s">
        <v>2693</v>
      </c>
      <c r="B837" s="10" t="s">
        <v>2694</v>
      </c>
      <c r="C837" s="10" t="s">
        <v>2695</v>
      </c>
      <c r="G837" s="8"/>
      <c r="H837" s="8"/>
      <c r="I837" s="8"/>
    </row>
    <row r="838">
      <c r="A838" s="16" t="s">
        <v>2696</v>
      </c>
      <c r="B838" s="16" t="s">
        <v>2697</v>
      </c>
      <c r="C838" s="16" t="s">
        <v>2698</v>
      </c>
      <c r="G838" s="8"/>
      <c r="H838" s="8"/>
      <c r="I838" s="8"/>
    </row>
    <row r="839">
      <c r="A839" s="10" t="s">
        <v>2699</v>
      </c>
      <c r="B839" s="10" t="s">
        <v>2700</v>
      </c>
      <c r="C839" s="10" t="s">
        <v>2701</v>
      </c>
      <c r="G839" s="8"/>
      <c r="H839" s="8"/>
      <c r="I839" s="8"/>
    </row>
    <row r="840">
      <c r="A840" s="10" t="s">
        <v>2702</v>
      </c>
      <c r="B840" s="10" t="s">
        <v>2703</v>
      </c>
      <c r="C840" s="10" t="s">
        <v>2704</v>
      </c>
      <c r="G840" s="8"/>
      <c r="H840" s="8"/>
      <c r="I840" s="8"/>
    </row>
    <row r="841">
      <c r="A841" s="16" t="s">
        <v>2705</v>
      </c>
      <c r="B841" s="16" t="s">
        <v>2706</v>
      </c>
      <c r="C841" s="16" t="s">
        <v>2707</v>
      </c>
      <c r="G841" s="8"/>
      <c r="H841" s="8"/>
      <c r="I841" s="8"/>
    </row>
    <row r="842">
      <c r="A842" s="16" t="s">
        <v>2708</v>
      </c>
      <c r="B842" s="16" t="s">
        <v>2709</v>
      </c>
      <c r="C842" s="16" t="s">
        <v>2710</v>
      </c>
      <c r="G842" s="8"/>
      <c r="H842" s="8"/>
      <c r="I842" s="8"/>
    </row>
    <row r="843">
      <c r="A843" s="10" t="s">
        <v>2711</v>
      </c>
      <c r="B843" s="10" t="s">
        <v>2712</v>
      </c>
      <c r="C843" s="10" t="s">
        <v>2713</v>
      </c>
      <c r="G843" s="8"/>
      <c r="H843" s="8"/>
      <c r="I843" s="8"/>
    </row>
    <row r="844">
      <c r="A844" s="10" t="s">
        <v>2714</v>
      </c>
      <c r="B844" s="10" t="s">
        <v>2715</v>
      </c>
      <c r="C844" s="10" t="s">
        <v>2716</v>
      </c>
      <c r="G844" s="8"/>
      <c r="H844" s="8"/>
      <c r="I844" s="8"/>
    </row>
    <row r="845">
      <c r="A845" s="16" t="s">
        <v>2717</v>
      </c>
      <c r="B845" s="16" t="s">
        <v>2718</v>
      </c>
      <c r="C845" s="16" t="s">
        <v>2719</v>
      </c>
      <c r="G845" s="8"/>
      <c r="H845" s="8"/>
      <c r="I845" s="8"/>
    </row>
    <row r="846">
      <c r="A846" s="10" t="s">
        <v>2720</v>
      </c>
      <c r="B846" s="10" t="s">
        <v>2721</v>
      </c>
      <c r="C846" s="10" t="s">
        <v>2722</v>
      </c>
      <c r="G846" s="8"/>
      <c r="H846" s="8"/>
      <c r="I846" s="8"/>
    </row>
    <row r="847">
      <c r="A847" s="10" t="s">
        <v>2723</v>
      </c>
      <c r="B847" s="10" t="s">
        <v>2724</v>
      </c>
      <c r="C847" s="10" t="s">
        <v>2725</v>
      </c>
      <c r="G847" s="8"/>
      <c r="H847" s="8"/>
      <c r="I847" s="8"/>
    </row>
    <row r="848">
      <c r="A848" s="10" t="s">
        <v>2726</v>
      </c>
      <c r="B848" s="10" t="s">
        <v>2727</v>
      </c>
      <c r="C848" s="10"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6" t="s">
        <v>2735</v>
      </c>
      <c r="B851" s="16" t="s">
        <v>2736</v>
      </c>
      <c r="C851" s="16" t="s">
        <v>2737</v>
      </c>
      <c r="G851" s="8"/>
      <c r="H851" s="8"/>
      <c r="I851" s="8"/>
    </row>
    <row r="852">
      <c r="A852" s="16" t="s">
        <v>2738</v>
      </c>
      <c r="B852" s="16" t="s">
        <v>2739</v>
      </c>
      <c r="C852" s="16" t="s">
        <v>2740</v>
      </c>
      <c r="G852" s="8"/>
      <c r="H852" s="8"/>
      <c r="I852" s="8"/>
    </row>
    <row r="853">
      <c r="A853" s="16" t="s">
        <v>2741</v>
      </c>
      <c r="B853" s="16" t="s">
        <v>2742</v>
      </c>
      <c r="C853" s="16" t="s">
        <v>2743</v>
      </c>
      <c r="G853" s="8"/>
      <c r="H853" s="8"/>
      <c r="I853" s="8"/>
    </row>
    <row r="854">
      <c r="A854" s="16" t="s">
        <v>2744</v>
      </c>
      <c r="B854" s="16" t="s">
        <v>2745</v>
      </c>
      <c r="C854" s="16" t="s">
        <v>2746</v>
      </c>
      <c r="G854" s="8"/>
      <c r="H854" s="8"/>
      <c r="I854" s="8"/>
    </row>
    <row r="855">
      <c r="A855" s="10" t="s">
        <v>2747</v>
      </c>
      <c r="B855" s="10" t="s">
        <v>2748</v>
      </c>
      <c r="C855" s="10" t="s">
        <v>2749</v>
      </c>
      <c r="G855" s="8"/>
      <c r="H855" s="8"/>
      <c r="I855" s="8"/>
    </row>
    <row r="856">
      <c r="A856" s="10" t="s">
        <v>2750</v>
      </c>
      <c r="B856" s="10" t="s">
        <v>2751</v>
      </c>
      <c r="C856" s="10" t="s">
        <v>2752</v>
      </c>
      <c r="G856" s="8"/>
      <c r="H856" s="8"/>
      <c r="I856" s="8"/>
    </row>
    <row r="857">
      <c r="A857" s="10" t="s">
        <v>2753</v>
      </c>
      <c r="B857" s="10" t="s">
        <v>2754</v>
      </c>
      <c r="C857" s="10" t="s">
        <v>2755</v>
      </c>
      <c r="G857" s="8"/>
      <c r="H857" s="8"/>
      <c r="I857" s="8"/>
    </row>
    <row r="858">
      <c r="A858" s="10" t="s">
        <v>2756</v>
      </c>
      <c r="B858" s="10" t="s">
        <v>2757</v>
      </c>
      <c r="C858" s="16" t="s">
        <v>2758</v>
      </c>
      <c r="G858" s="8"/>
      <c r="H858" s="8"/>
      <c r="I858" s="8"/>
    </row>
    <row r="859">
      <c r="A859" s="10" t="s">
        <v>2759</v>
      </c>
      <c r="B859" s="10" t="s">
        <v>2760</v>
      </c>
      <c r="C859" s="10" t="s">
        <v>2761</v>
      </c>
      <c r="G859" s="8"/>
      <c r="H859" s="8"/>
      <c r="I859" s="8"/>
    </row>
    <row r="860">
      <c r="A860" s="16" t="s">
        <v>2762</v>
      </c>
      <c r="B860" s="16" t="s">
        <v>2763</v>
      </c>
      <c r="C860" s="16"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0"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6" t="s">
        <v>2786</v>
      </c>
      <c r="B868" s="16" t="s">
        <v>2787</v>
      </c>
      <c r="C868" s="10" t="s">
        <v>2788</v>
      </c>
      <c r="G868" s="8"/>
      <c r="H868" s="8"/>
      <c r="I868" s="8"/>
    </row>
    <row r="869">
      <c r="A869" s="16" t="s">
        <v>2789</v>
      </c>
      <c r="B869" s="16" t="s">
        <v>2790</v>
      </c>
      <c r="C869" s="16" t="s">
        <v>2791</v>
      </c>
      <c r="G869" s="8"/>
      <c r="H869" s="8"/>
      <c r="I869" s="8"/>
    </row>
    <row r="870">
      <c r="A870" s="10" t="s">
        <v>2792</v>
      </c>
      <c r="B870" s="10" t="s">
        <v>2793</v>
      </c>
      <c r="C870" s="10" t="s">
        <v>2794</v>
      </c>
      <c r="G870" s="8"/>
      <c r="H870" s="8"/>
      <c r="I870" s="8"/>
    </row>
    <row r="871">
      <c r="A871" s="10" t="s">
        <v>2795</v>
      </c>
      <c r="B871" s="16" t="s">
        <v>2796</v>
      </c>
      <c r="C871" s="10" t="s">
        <v>2797</v>
      </c>
      <c r="G871" s="8"/>
      <c r="H871" s="8"/>
      <c r="I871" s="8"/>
    </row>
    <row r="872">
      <c r="A872" s="16" t="s">
        <v>2798</v>
      </c>
      <c r="B872" s="16" t="s">
        <v>2799</v>
      </c>
      <c r="C872" s="16" t="s">
        <v>2800</v>
      </c>
      <c r="G872" s="8"/>
      <c r="H872" s="8"/>
      <c r="I872" s="8"/>
    </row>
    <row r="873">
      <c r="A873" s="10" t="s">
        <v>2801</v>
      </c>
      <c r="B873" s="10" t="s">
        <v>2802</v>
      </c>
      <c r="C873" s="10" t="s">
        <v>2803</v>
      </c>
      <c r="G873" s="8"/>
      <c r="H873" s="8"/>
      <c r="I873" s="8"/>
    </row>
    <row r="874">
      <c r="A874" s="10" t="s">
        <v>2804</v>
      </c>
      <c r="B874" s="10"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6" t="s">
        <v>2813</v>
      </c>
      <c r="B877" s="16" t="s">
        <v>2814</v>
      </c>
      <c r="C877" s="16" t="s">
        <v>2815</v>
      </c>
      <c r="G877" s="8"/>
      <c r="H877" s="8"/>
      <c r="I877" s="8"/>
    </row>
    <row r="878">
      <c r="A878" s="16" t="s">
        <v>2816</v>
      </c>
      <c r="B878" s="16"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0" t="s">
        <v>2830</v>
      </c>
      <c r="G882" s="8"/>
      <c r="H882" s="8"/>
      <c r="I882" s="8"/>
    </row>
    <row r="883">
      <c r="A883" s="16" t="s">
        <v>2831</v>
      </c>
      <c r="B883" s="16" t="s">
        <v>2832</v>
      </c>
      <c r="C883" s="16" t="s">
        <v>2833</v>
      </c>
      <c r="G883" s="8"/>
      <c r="H883" s="8"/>
      <c r="I883" s="8"/>
    </row>
    <row r="884">
      <c r="A884" s="16" t="s">
        <v>2834</v>
      </c>
      <c r="B884" s="10" t="s">
        <v>2835</v>
      </c>
      <c r="C884" s="10" t="s">
        <v>2836</v>
      </c>
      <c r="G884" s="8"/>
      <c r="H884" s="8"/>
      <c r="I884" s="8"/>
    </row>
    <row r="885">
      <c r="A885" s="16" t="s">
        <v>2837</v>
      </c>
      <c r="B885" s="16" t="s">
        <v>2838</v>
      </c>
      <c r="C885" s="10"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6" t="s">
        <v>2846</v>
      </c>
      <c r="B888" s="16" t="s">
        <v>2847</v>
      </c>
      <c r="C888" s="16" t="s">
        <v>2848</v>
      </c>
      <c r="G888" s="8"/>
      <c r="H888" s="8"/>
      <c r="I888" s="8"/>
    </row>
    <row r="889">
      <c r="A889" s="10" t="s">
        <v>2849</v>
      </c>
      <c r="B889" s="10" t="s">
        <v>2850</v>
      </c>
      <c r="C889" s="16" t="s">
        <v>2851</v>
      </c>
      <c r="G889" s="8"/>
      <c r="H889" s="8"/>
      <c r="I889" s="8"/>
    </row>
    <row r="890">
      <c r="A890" s="10" t="s">
        <v>2852</v>
      </c>
      <c r="B890" s="10" t="s">
        <v>2853</v>
      </c>
      <c r="C890" s="10" t="s">
        <v>2854</v>
      </c>
      <c r="G890" s="8"/>
      <c r="H890" s="8"/>
      <c r="I890" s="8"/>
    </row>
    <row r="891">
      <c r="A891" s="16" t="s">
        <v>2855</v>
      </c>
      <c r="B891" s="16" t="s">
        <v>2856</v>
      </c>
      <c r="C891" s="16" t="s">
        <v>2857</v>
      </c>
      <c r="G891" s="8"/>
      <c r="H891" s="8"/>
      <c r="I891" s="8"/>
    </row>
    <row r="892">
      <c r="A892" s="10" t="s">
        <v>2858</v>
      </c>
      <c r="B892" s="10" t="s">
        <v>2859</v>
      </c>
      <c r="C892" s="10" t="s">
        <v>2860</v>
      </c>
      <c r="G892" s="8"/>
      <c r="H892" s="8"/>
      <c r="I892" s="8"/>
    </row>
    <row r="893">
      <c r="A893" s="16" t="s">
        <v>2861</v>
      </c>
      <c r="B893" s="16" t="s">
        <v>2862</v>
      </c>
      <c r="C893" s="10"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0" t="s">
        <v>2876</v>
      </c>
      <c r="B898" s="10" t="s">
        <v>2877</v>
      </c>
      <c r="C898" s="10" t="s">
        <v>2878</v>
      </c>
      <c r="G898" s="8"/>
      <c r="H898" s="8"/>
      <c r="I898" s="8"/>
    </row>
    <row r="899">
      <c r="A899" s="10" t="s">
        <v>2879</v>
      </c>
      <c r="B899" s="10" t="s">
        <v>2880</v>
      </c>
      <c r="C899" s="10" t="s">
        <v>2881</v>
      </c>
      <c r="G899" s="8"/>
      <c r="H899" s="8"/>
      <c r="I899" s="8"/>
    </row>
    <row r="900">
      <c r="A900" s="10" t="s">
        <v>2882</v>
      </c>
      <c r="B900" s="10" t="s">
        <v>2883</v>
      </c>
      <c r="C900" s="10" t="s">
        <v>2884</v>
      </c>
      <c r="G900" s="8"/>
      <c r="H900" s="8"/>
      <c r="I900" s="8"/>
    </row>
    <row r="901">
      <c r="A901" s="10" t="s">
        <v>2885</v>
      </c>
      <c r="B901" s="10" t="s">
        <v>2886</v>
      </c>
      <c r="C901" s="10" t="s">
        <v>2887</v>
      </c>
      <c r="G901" s="8"/>
      <c r="H901" s="8"/>
      <c r="I901" s="8"/>
    </row>
    <row r="902">
      <c r="A902" s="10" t="s">
        <v>2888</v>
      </c>
      <c r="B902" s="10" t="s">
        <v>2889</v>
      </c>
      <c r="C902" s="16" t="s">
        <v>2890</v>
      </c>
      <c r="G902" s="8"/>
      <c r="H902" s="8"/>
      <c r="I902" s="8"/>
    </row>
    <row r="903">
      <c r="A903" s="16" t="s">
        <v>2891</v>
      </c>
      <c r="B903" s="16" t="s">
        <v>2892</v>
      </c>
      <c r="C903" s="16" t="s">
        <v>2893</v>
      </c>
      <c r="G903" s="8"/>
      <c r="H903" s="8"/>
      <c r="I903" s="8"/>
    </row>
    <row r="904">
      <c r="A904" s="10" t="s">
        <v>2894</v>
      </c>
      <c r="B904" s="10" t="s">
        <v>2895</v>
      </c>
      <c r="C904" s="16" t="s">
        <v>2896</v>
      </c>
      <c r="G904" s="8"/>
      <c r="H904" s="8"/>
      <c r="I904" s="8"/>
    </row>
    <row r="905">
      <c r="A905" s="16" t="s">
        <v>2897</v>
      </c>
      <c r="B905" s="16" t="s">
        <v>2898</v>
      </c>
      <c r="C905" s="16" t="s">
        <v>2899</v>
      </c>
      <c r="G905" s="8"/>
      <c r="H905" s="8"/>
      <c r="I905" s="8"/>
    </row>
    <row r="906">
      <c r="A906" s="16" t="s">
        <v>2900</v>
      </c>
      <c r="B906" s="16" t="s">
        <v>2901</v>
      </c>
      <c r="C906" s="10" t="s">
        <v>2902</v>
      </c>
      <c r="G906" s="8"/>
      <c r="H906" s="8"/>
      <c r="I906" s="8"/>
    </row>
    <row r="907">
      <c r="A907" s="16" t="s">
        <v>2903</v>
      </c>
      <c r="B907" s="16" t="s">
        <v>2904</v>
      </c>
      <c r="C907" s="16" t="s">
        <v>2905</v>
      </c>
      <c r="G907" s="8"/>
      <c r="H907" s="8"/>
      <c r="I907" s="8"/>
    </row>
    <row r="908">
      <c r="A908" s="10" t="s">
        <v>2906</v>
      </c>
      <c r="B908" s="10" t="s">
        <v>2907</v>
      </c>
      <c r="C908" s="10"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6" t="s">
        <v>2920</v>
      </c>
      <c r="G912" s="8"/>
      <c r="H912" s="8"/>
      <c r="I912" s="8"/>
    </row>
    <row r="913">
      <c r="A913" s="16" t="s">
        <v>2921</v>
      </c>
      <c r="B913" s="16" t="s">
        <v>2922</v>
      </c>
      <c r="C913" s="16" t="s">
        <v>2923</v>
      </c>
      <c r="G913" s="8"/>
      <c r="H913" s="8"/>
      <c r="I913" s="8"/>
    </row>
    <row r="914">
      <c r="A914" s="16" t="s">
        <v>2924</v>
      </c>
      <c r="B914" s="16" t="s">
        <v>2925</v>
      </c>
      <c r="C914" s="16" t="s">
        <v>2926</v>
      </c>
      <c r="G914" s="8"/>
      <c r="H914" s="8"/>
      <c r="I914" s="8"/>
    </row>
    <row r="915">
      <c r="A915" s="16" t="s">
        <v>2927</v>
      </c>
      <c r="B915" s="16" t="s">
        <v>2928</v>
      </c>
      <c r="C915" s="16" t="s">
        <v>2929</v>
      </c>
      <c r="G915" s="8"/>
      <c r="H915" s="8"/>
      <c r="I915" s="8"/>
    </row>
    <row r="916">
      <c r="A916" s="16" t="s">
        <v>2930</v>
      </c>
      <c r="B916" s="16" t="s">
        <v>2931</v>
      </c>
      <c r="C916" s="10" t="s">
        <v>2932</v>
      </c>
      <c r="G916" s="8"/>
      <c r="H916" s="8"/>
      <c r="I916" s="8"/>
    </row>
    <row r="917">
      <c r="A917" s="16" t="s">
        <v>2933</v>
      </c>
      <c r="B917" s="16" t="s">
        <v>2934</v>
      </c>
      <c r="C917" s="10"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0" t="s">
        <v>2942</v>
      </c>
      <c r="B920" s="10" t="s">
        <v>2943</v>
      </c>
      <c r="C920" s="16" t="s">
        <v>2944</v>
      </c>
      <c r="G920" s="8"/>
      <c r="H920" s="8"/>
      <c r="I920" s="8"/>
    </row>
    <row r="921">
      <c r="A921" s="16" t="s">
        <v>2945</v>
      </c>
      <c r="B921" s="16"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6"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0" t="s">
        <v>2971</v>
      </c>
      <c r="G929" s="8"/>
      <c r="H929" s="8"/>
      <c r="I929" s="8"/>
    </row>
    <row r="930">
      <c r="A930" s="16" t="s">
        <v>2972</v>
      </c>
      <c r="B930" s="16" t="s">
        <v>2973</v>
      </c>
      <c r="C930" s="10" t="s">
        <v>2974</v>
      </c>
      <c r="G930" s="8"/>
      <c r="H930" s="8"/>
      <c r="I930" s="8"/>
    </row>
    <row r="931">
      <c r="A931" s="16" t="s">
        <v>2975</v>
      </c>
      <c r="B931" s="16" t="s">
        <v>2976</v>
      </c>
      <c r="C931" s="16" t="s">
        <v>2977</v>
      </c>
      <c r="G931" s="8"/>
      <c r="H931" s="8"/>
      <c r="I931" s="8"/>
    </row>
    <row r="932">
      <c r="A932" s="10" t="s">
        <v>2978</v>
      </c>
      <c r="B932" s="10" t="s">
        <v>2979</v>
      </c>
      <c r="C932" s="10" t="s">
        <v>2980</v>
      </c>
      <c r="G932" s="8"/>
      <c r="H932" s="8"/>
      <c r="I932" s="8"/>
    </row>
    <row r="933">
      <c r="A933" s="10" t="s">
        <v>2981</v>
      </c>
      <c r="B933" s="10" t="s">
        <v>2982</v>
      </c>
      <c r="C933" s="10" t="s">
        <v>2983</v>
      </c>
      <c r="G933" s="8"/>
      <c r="H933" s="8"/>
      <c r="I933" s="8"/>
    </row>
    <row r="934">
      <c r="A934" s="10" t="s">
        <v>2984</v>
      </c>
      <c r="B934" s="10" t="s">
        <v>2985</v>
      </c>
      <c r="C934" s="16"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6"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0" t="s">
        <v>3014</v>
      </c>
      <c r="B944" s="10" t="s">
        <v>3015</v>
      </c>
      <c r="C944" s="10" t="s">
        <v>3016</v>
      </c>
      <c r="G944" s="8"/>
      <c r="H944" s="8"/>
      <c r="I944" s="8"/>
    </row>
    <row r="945">
      <c r="A945" s="10" t="s">
        <v>3017</v>
      </c>
      <c r="B945" s="10" t="s">
        <v>3018</v>
      </c>
      <c r="C945" s="10"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A951" s="16" t="s">
        <v>3035</v>
      </c>
      <c r="B951" s="16" t="s">
        <v>3036</v>
      </c>
      <c r="C951" s="16" t="s">
        <v>3037</v>
      </c>
      <c r="G951" s="8"/>
      <c r="H951" s="8"/>
      <c r="I951" s="8"/>
    </row>
    <row r="952">
      <c r="A952" s="16" t="s">
        <v>3038</v>
      </c>
      <c r="B952" s="16" t="s">
        <v>3039</v>
      </c>
      <c r="C952" s="16" t="s">
        <v>3040</v>
      </c>
      <c r="G952" s="8"/>
      <c r="H952" s="8"/>
      <c r="I952" s="8"/>
    </row>
    <row r="953">
      <c r="A953" s="16" t="s">
        <v>3041</v>
      </c>
      <c r="B953" s="16" t="s">
        <v>3042</v>
      </c>
      <c r="C953" s="16" t="s">
        <v>3043</v>
      </c>
      <c r="G953" s="8"/>
      <c r="H953" s="8"/>
      <c r="I953" s="8"/>
    </row>
    <row r="954">
      <c r="A954" s="16" t="s">
        <v>3044</v>
      </c>
      <c r="B954" s="16" t="s">
        <v>3045</v>
      </c>
      <c r="C954" s="16" t="s">
        <v>3046</v>
      </c>
      <c r="G954" s="8"/>
      <c r="H954" s="8"/>
      <c r="I954" s="8"/>
    </row>
    <row r="955">
      <c r="A955" s="8"/>
      <c r="B955" s="8"/>
      <c r="C955" s="8"/>
      <c r="G955" s="8"/>
      <c r="H955" s="8"/>
      <c r="I955" s="8"/>
    </row>
    <row r="956">
      <c r="A956" s="8"/>
      <c r="B956" s="8"/>
      <c r="C956" s="8"/>
      <c r="G956" s="8"/>
      <c r="H956" s="8"/>
      <c r="I956" s="8"/>
    </row>
    <row r="957">
      <c r="A957" s="8"/>
      <c r="B957" s="8"/>
      <c r="C957" s="8"/>
      <c r="G957" s="8"/>
      <c r="H957" s="8"/>
      <c r="I957" s="8"/>
    </row>
    <row r="958">
      <c r="A958" s="8"/>
      <c r="B958" s="8"/>
      <c r="C958" s="8"/>
      <c r="G958" s="8"/>
      <c r="H958" s="8"/>
      <c r="I958" s="8"/>
    </row>
    <row r="959">
      <c r="A959" s="8"/>
      <c r="B959" s="8"/>
      <c r="C959" s="8"/>
      <c r="G959" s="8"/>
      <c r="H959" s="8"/>
      <c r="I959" s="8"/>
    </row>
    <row r="960">
      <c r="A960" s="8"/>
      <c r="B960" s="8"/>
      <c r="C960" s="8"/>
      <c r="G960" s="8"/>
      <c r="H960" s="8"/>
      <c r="I960" s="8"/>
    </row>
    <row r="961">
      <c r="A961" s="8"/>
      <c r="B961" s="8"/>
      <c r="C961" s="8"/>
      <c r="G961" s="8"/>
      <c r="H961" s="8"/>
      <c r="I961" s="8"/>
    </row>
    <row r="962">
      <c r="A962" s="8"/>
      <c r="B962" s="8"/>
      <c r="C962" s="8"/>
      <c r="G962" s="8"/>
      <c r="H962" s="8"/>
      <c r="I962" s="8"/>
    </row>
    <row r="963">
      <c r="A963" s="8"/>
      <c r="B963" s="8"/>
      <c r="C963" s="8"/>
      <c r="G963" s="8"/>
      <c r="H963" s="8"/>
      <c r="I963" s="8"/>
    </row>
    <row r="964">
      <c r="A964" s="8"/>
      <c r="B964" s="8"/>
      <c r="C964" s="8"/>
      <c r="G964" s="8"/>
      <c r="H964" s="8"/>
      <c r="I964" s="8"/>
    </row>
    <row r="965">
      <c r="A965" s="8"/>
      <c r="B965" s="8"/>
      <c r="C965" s="8"/>
      <c r="G965" s="8"/>
      <c r="H965" s="8"/>
      <c r="I965" s="8"/>
    </row>
    <row r="966">
      <c r="A966" s="8"/>
      <c r="B966" s="8"/>
      <c r="C966" s="8"/>
      <c r="G966" s="8"/>
      <c r="H966" s="8"/>
      <c r="I966" s="8"/>
    </row>
    <row r="967">
      <c r="A967" s="8"/>
      <c r="B967" s="8"/>
      <c r="C967" s="8"/>
      <c r="G967" s="8"/>
      <c r="H967" s="8"/>
      <c r="I967" s="8"/>
    </row>
    <row r="968">
      <c r="A968" s="8"/>
      <c r="B968" s="8"/>
      <c r="C968" s="8"/>
      <c r="G968" s="8"/>
      <c r="H968" s="8"/>
      <c r="I968" s="8"/>
    </row>
    <row r="969">
      <c r="A969" s="8"/>
      <c r="B969" s="8"/>
      <c r="C969" s="8"/>
      <c r="G969" s="8"/>
      <c r="H969" s="8"/>
      <c r="I969" s="8"/>
    </row>
    <row r="970">
      <c r="A970" s="8"/>
      <c r="B970" s="8"/>
      <c r="C970" s="8"/>
      <c r="G970" s="8"/>
      <c r="H970" s="8"/>
      <c r="I970" s="8"/>
    </row>
    <row r="971">
      <c r="A971" s="8"/>
      <c r="B971" s="8"/>
      <c r="C971" s="8"/>
      <c r="G971" s="8"/>
      <c r="H971" s="8"/>
      <c r="I971" s="8"/>
    </row>
    <row r="972">
      <c r="A972" s="8"/>
      <c r="B972" s="8"/>
      <c r="C972" s="8"/>
      <c r="G972" s="8"/>
      <c r="H972" s="8"/>
      <c r="I972" s="8"/>
    </row>
    <row r="973">
      <c r="A973" s="8"/>
      <c r="B973" s="8"/>
      <c r="C973" s="8"/>
      <c r="G973" s="8"/>
      <c r="H973" s="8"/>
      <c r="I973" s="8"/>
    </row>
    <row r="974">
      <c r="A974" s="8"/>
      <c r="B974" s="8"/>
      <c r="C974" s="8"/>
      <c r="G974" s="8"/>
      <c r="H974" s="8"/>
      <c r="I974" s="8"/>
    </row>
    <row r="975">
      <c r="A975" s="8"/>
      <c r="B975" s="8"/>
      <c r="C975" s="8"/>
      <c r="G975" s="8"/>
      <c r="H975" s="8"/>
      <c r="I975" s="8"/>
    </row>
    <row r="976">
      <c r="A976" s="8"/>
      <c r="B976" s="8"/>
      <c r="C976" s="8"/>
      <c r="G976" s="8"/>
      <c r="H976" s="8"/>
      <c r="I976" s="8"/>
    </row>
    <row r="977">
      <c r="A977" s="8"/>
      <c r="B977" s="8"/>
      <c r="C977" s="8"/>
      <c r="G977" s="8"/>
      <c r="H977" s="8"/>
      <c r="I977" s="8"/>
    </row>
    <row r="978">
      <c r="A978" s="8"/>
      <c r="B978" s="8"/>
      <c r="C978" s="8"/>
      <c r="G978" s="8"/>
      <c r="H978" s="8"/>
      <c r="I978" s="8"/>
    </row>
    <row r="979">
      <c r="A979" s="8"/>
      <c r="B979" s="8"/>
      <c r="C979" s="8"/>
      <c r="G979" s="8"/>
      <c r="H979" s="8"/>
      <c r="I979" s="8"/>
    </row>
    <row r="980">
      <c r="A980" s="8"/>
      <c r="B980" s="8"/>
      <c r="C980" s="8"/>
      <c r="G980" s="8"/>
      <c r="H980" s="8"/>
      <c r="I980" s="8"/>
    </row>
    <row r="981">
      <c r="A981" s="8"/>
      <c r="B981" s="8"/>
      <c r="C981" s="8"/>
      <c r="G981" s="8"/>
      <c r="H981" s="8"/>
      <c r="I981" s="8"/>
    </row>
    <row r="982">
      <c r="A982" s="8"/>
      <c r="B982" s="8"/>
      <c r="C982" s="8"/>
      <c r="G982" s="8"/>
      <c r="H982" s="8"/>
      <c r="I982" s="8"/>
    </row>
    <row r="983">
      <c r="A983" s="8"/>
      <c r="B983" s="8"/>
      <c r="C983" s="8"/>
      <c r="G983" s="8"/>
      <c r="H983" s="8"/>
      <c r="I983" s="8"/>
    </row>
    <row r="984">
      <c r="A984" s="8"/>
      <c r="B984" s="8"/>
      <c r="C984" s="8"/>
      <c r="G984" s="8"/>
      <c r="H984" s="8"/>
      <c r="I984" s="8"/>
    </row>
    <row r="985">
      <c r="A985" s="8"/>
      <c r="B985" s="8"/>
      <c r="C985" s="8"/>
      <c r="G985" s="8"/>
      <c r="H985" s="8"/>
      <c r="I985" s="8"/>
    </row>
    <row r="986">
      <c r="A986" s="8"/>
      <c r="B986" s="8"/>
      <c r="C986" s="8"/>
      <c r="G986" s="8"/>
      <c r="H986" s="8"/>
      <c r="I986" s="8"/>
    </row>
    <row r="987">
      <c r="A987" s="8"/>
      <c r="B987" s="8"/>
      <c r="C987" s="8"/>
      <c r="G987" s="8"/>
      <c r="H987" s="8"/>
      <c r="I987" s="8"/>
    </row>
    <row r="988">
      <c r="A988" s="8"/>
      <c r="B988" s="8"/>
      <c r="C988" s="8"/>
      <c r="G988" s="8"/>
      <c r="H988" s="8"/>
      <c r="I988" s="8"/>
    </row>
    <row r="989">
      <c r="A989" s="8"/>
      <c r="B989" s="8"/>
      <c r="C989" s="8"/>
      <c r="G989" s="8"/>
      <c r="H989" s="8"/>
      <c r="I989" s="8"/>
    </row>
    <row r="990">
      <c r="A990" s="8"/>
      <c r="B990" s="8"/>
      <c r="C990" s="8"/>
      <c r="G990" s="8"/>
      <c r="H990" s="8"/>
      <c r="I990" s="8"/>
    </row>
    <row r="991">
      <c r="A991" s="8"/>
      <c r="B991" s="8"/>
      <c r="C991" s="8"/>
      <c r="G991" s="8"/>
      <c r="H991" s="8"/>
      <c r="I991" s="8"/>
    </row>
    <row r="992">
      <c r="A992" s="8"/>
      <c r="B992" s="8"/>
      <c r="C992" s="8"/>
      <c r="G992" s="8"/>
      <c r="H992" s="8"/>
      <c r="I992" s="8"/>
    </row>
    <row r="993">
      <c r="A993" s="8"/>
      <c r="B993" s="8"/>
      <c r="C993" s="8"/>
      <c r="G993" s="8"/>
      <c r="H993" s="8"/>
      <c r="I993" s="8"/>
    </row>
    <row r="994">
      <c r="A994" s="8"/>
      <c r="B994" s="8"/>
      <c r="C994" s="8"/>
      <c r="G994" s="8"/>
      <c r="H994" s="8"/>
      <c r="I994" s="8"/>
    </row>
    <row r="995">
      <c r="A995" s="8"/>
      <c r="B995" s="8"/>
      <c r="C995" s="8"/>
      <c r="G995" s="8"/>
      <c r="H995" s="8"/>
      <c r="I995" s="8"/>
    </row>
    <row r="996">
      <c r="A996" s="8"/>
      <c r="B996" s="8"/>
      <c r="C996" s="8"/>
      <c r="G996" s="8"/>
      <c r="H996" s="8"/>
      <c r="I996" s="8"/>
    </row>
    <row r="997">
      <c r="A997" s="8"/>
      <c r="B997" s="8"/>
      <c r="C997" s="8"/>
      <c r="G997" s="8"/>
      <c r="H997" s="8"/>
      <c r="I997" s="8"/>
    </row>
    <row r="998">
      <c r="A998" s="8"/>
      <c r="B998" s="8"/>
      <c r="C998" s="8"/>
      <c r="G998" s="8"/>
      <c r="H998" s="8"/>
      <c r="I998" s="8"/>
    </row>
    <row r="999">
      <c r="A999" s="8"/>
      <c r="B999" s="8"/>
      <c r="C999" s="8"/>
      <c r="G999" s="8"/>
      <c r="H999" s="8"/>
      <c r="I999" s="8"/>
    </row>
    <row r="1000">
      <c r="A1000" s="8"/>
      <c r="B1000" s="8"/>
      <c r="C1000" s="8"/>
      <c r="G1000" s="8"/>
      <c r="H1000" s="8"/>
      <c r="I1000" s="8"/>
    </row>
    <row r="1001">
      <c r="A1001" s="8"/>
      <c r="B1001" s="8"/>
      <c r="C1001" s="8"/>
      <c r="G1001" s="8"/>
      <c r="H1001" s="8"/>
      <c r="I1001" s="8"/>
    </row>
    <row r="1002">
      <c r="A1002" s="8"/>
      <c r="B1002" s="8"/>
      <c r="C1002" s="8"/>
      <c r="G1002" s="8"/>
      <c r="H1002" s="8"/>
      <c r="I1002" s="8"/>
    </row>
    <row r="1003">
      <c r="A1003" s="8"/>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